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aw_Data" sheetId="3" state="visible" r:id="rId5"/>
    <sheet name="Benchmark" sheetId="4" state="visible" r:id="rId6"/>
    <sheet name="ProForma" sheetId="5" state="visible" r:id="rId7"/>
    <sheet name="Checks" sheetId="6" state="visible" r:id="rId8"/>
    <sheet name="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<sst xmlns="http://schemas.openxmlformats.org/spreadsheetml/2006/main" count="407" uniqueCount="187">
  <si>
    <t xml:space="preserve">Elevator &amp; Escalator Big 4 Benchmark, FY2025</t>
  </si>
  <si>
    <t xml:space="preserve">KONE vs Otis, Schindler and TK Elevator, plus a pro forma KONE + TKE view</t>
  </si>
  <si>
    <t xml:space="preserve">Question: how does KONE compare with its three largest peers on scale, business mix and profitability,</t>
  </si>
  <si>
    <t xml:space="preserve">and what would a combined KONE + TK Elevator look like if the announced deal closes?</t>
  </si>
  <si>
    <t xml:space="preserve">Workflow</t>
  </si>
  <si>
    <t xml:space="preserve">1. Inputs: exchange rates and synergy assumptions (yellow cells can be changed).</t>
  </si>
  <si>
    <t xml:space="preserve">2. Raw_Data: every reported figure in its original currency, one row per data point, with its source.</t>
  </si>
  <si>
    <t xml:space="preserve">3. Benchmark: figures converted to EUR with SUMIFS lookups; KPIs and ranks are formulas.</t>
  </si>
  <si>
    <t xml:space="preserve">4. ProForma: KONE + TKE combined, with a synergy-realisation scenario selector.</t>
  </si>
  <si>
    <t xml:space="preserve">5. Checks: automated tests that the data adds up and matches published totals.</t>
  </si>
  <si>
    <t xml:space="preserve">6. Dashboard: charts linked to the Benchmark and ProForma sheets.</t>
  </si>
  <si>
    <t xml:space="preserve">Colour code: blue = hardcoded input from a source, black = formula, green = link to another sheet,</t>
  </si>
  <si>
    <t xml:space="preserve">yellow fill = assumption you can change.</t>
  </si>
  <si>
    <t xml:space="preserve">Comparability caveats</t>
  </si>
  <si>
    <t xml:space="preserve">- Fiscal years differ: KONE, Otis and Schindler report Jan-Dec 2025; TKE reports Oct 2024 - Sep 2025.</t>
  </si>
  <si>
    <t xml:space="preserve">- 'Adjusted EBIT' is each company's own definition (Otis: adjusted operating profit). TKE's adjusted EBIT</t>
  </si>
  <si>
    <t xml:space="preserve">  is likely to exclude acquisition-related amortisation, so its margin is not strictly like-for-like.</t>
  </si>
  <si>
    <t xml:space="preserve">- Otis 'Service' includes modernization; KONE reports Service and Modernization separately.</t>
  </si>
  <si>
    <t xml:space="preserve">  Schindler does not publish revenue by business line, so its mix is marked n/d.</t>
  </si>
  <si>
    <t xml:space="preserve">- Currencies are converted at ECB 2025 annual average rates (as published by the Bank of Finland).</t>
  </si>
  <si>
    <t xml:space="preserve">- Pro forma figures are simple sums: they ignore antitrust divestments, integration costs and financing.</t>
  </si>
  <si>
    <t xml:space="preserve">Illustrative analysis based on public company reports. Not investment advice.</t>
  </si>
  <si>
    <t xml:space="preserve">Inputs and assumptions</t>
  </si>
  <si>
    <t xml:space="preserve">Item</t>
  </si>
  <si>
    <t xml:space="preserve">Value</t>
  </si>
  <si>
    <t xml:space="preserve">Unit</t>
  </si>
  <si>
    <t xml:space="preserve">Source / note</t>
  </si>
  <si>
    <t xml:space="preserve">EUR/USD (2025 average)</t>
  </si>
  <si>
    <t xml:space="preserve">USD per EUR</t>
  </si>
  <si>
    <t xml:space="preserve">ECB reference rate, 2025 annual average (Bank of Finland, suomenpankki.fi)</t>
  </si>
  <si>
    <t xml:space="preserve">EUR/CHF (2025 average)</t>
  </si>
  <si>
    <t xml:space="preserve">CHF per EUR</t>
  </si>
  <si>
    <t xml:space="preserve">EUR/EUR</t>
  </si>
  <si>
    <t xml:space="preserve">Identity rate so every currency can be looked up the same way</t>
  </si>
  <si>
    <t xml:space="preserve">Announced run-rate cost synergies</t>
  </si>
  <si>
    <t xml:space="preserve">EUR m</t>
  </si>
  <si>
    <t xml:space="preserve">KONE deal announcement, 29 Apr 2026 (Reuters, Yahoo Finance)</t>
  </si>
  <si>
    <t xml:space="preserve">Synergy scenario (choose)</t>
  </si>
  <si>
    <t xml:space="preserve">Base</t>
  </si>
  <si>
    <t xml:space="preserve">Dropdown: Low / Base / Full</t>
  </si>
  <si>
    <t xml:space="preserve">Synergy realisation by scenario</t>
  </si>
  <si>
    <t xml:space="preserve">Scenario</t>
  </si>
  <si>
    <t xml:space="preserve">Share of EUR 700m realised</t>
  </si>
  <si>
    <t xml:space="preserve">Note</t>
  </si>
  <si>
    <t xml:space="preserve">Low</t>
  </si>
  <si>
    <t xml:space="preserve">Early integration, divestments dilute savings</t>
  </si>
  <si>
    <t xml:space="preserve">Roughly halfway through the three-year ramp-up</t>
  </si>
  <si>
    <t xml:space="preserve">Full</t>
  </si>
  <si>
    <t xml:space="preserve">Full run-rate, as guided within three years of closing</t>
  </si>
  <si>
    <t xml:space="preserve">Selected realisation</t>
  </si>
  <si>
    <t xml:space="preserve">Raw data: reported figures, original currency (never edited by formulas)</t>
  </si>
  <si>
    <t xml:space="preserve">Company</t>
  </si>
  <si>
    <t xml:space="preserve">Metric</t>
  </si>
  <si>
    <t xml:space="preserve">Currency</t>
  </si>
  <si>
    <t xml:space="preserve">Period</t>
  </si>
  <si>
    <t xml:space="preserve">Source</t>
  </si>
  <si>
    <t xml:space="preserve">KONE</t>
  </si>
  <si>
    <t xml:space="preserve">Sales</t>
  </si>
  <si>
    <t xml:space="preserve">m</t>
  </si>
  <si>
    <t xml:space="preserve">EUR</t>
  </si>
  <si>
    <t xml:space="preserve">FY2025</t>
  </si>
  <si>
    <t xml:space="preserve">KONE Financial Statement Bulletin &amp; Annual Review 2025 (kone.com, 6 Feb 2026)</t>
  </si>
  <si>
    <t xml:space="preserve">Sales prior year</t>
  </si>
  <si>
    <t xml:space="preserve">FY2024</t>
  </si>
  <si>
    <t xml:space="preserve">Orders received</t>
  </si>
  <si>
    <t xml:space="preserve">KONE Financial Statement Bulletin &amp; Annual Review 2025 (kone.com, 6 Feb 2026); excludes service contracts</t>
  </si>
  <si>
    <t xml:space="preserve">Adjusted EBIT</t>
  </si>
  <si>
    <t xml:space="preserve">Adjusted EBIT margin</t>
  </si>
  <si>
    <t xml:space="preserve">%</t>
  </si>
  <si>
    <t xml:space="preserve">Reported EBIT</t>
  </si>
  <si>
    <t xml:space="preserve">New equipment sales</t>
  </si>
  <si>
    <t xml:space="preserve">KONE Financial Statement Bulletin &amp; Annual Review 2025 (kone.com, 6 Feb 2026); New Building Solutions</t>
  </si>
  <si>
    <t xml:space="preserve">Service sales</t>
  </si>
  <si>
    <t xml:space="preserve">Modernization sales</t>
  </si>
  <si>
    <t xml:space="preserve">Sales Americas</t>
  </si>
  <si>
    <t xml:space="preserve">Sales Europe</t>
  </si>
  <si>
    <t xml:space="preserve">Sales APMEA</t>
  </si>
  <si>
    <t xml:space="preserve">Sales Greater China</t>
  </si>
  <si>
    <t xml:space="preserve">US share of sales</t>
  </si>
  <si>
    <t xml:space="preserve">KONE Financial Statement Bulletin &amp; Annual Review 2025 (kone.com, 6 Feb 2026); largest country</t>
  </si>
  <si>
    <t xml:space="preserve">Employees</t>
  </si>
  <si>
    <t xml:space="preserve">FTE</t>
  </si>
  <si>
    <t xml:space="preserve">Dec 2025</t>
  </si>
  <si>
    <t xml:space="preserve">Units under maintenance</t>
  </si>
  <si>
    <t xml:space="preserve">m units</t>
  </si>
  <si>
    <t xml:space="preserve">KONE Financial Statement Bulletin &amp; Annual Review 2025 (kone.com, 6 Feb 2026); approx.</t>
  </si>
  <si>
    <t xml:space="preserve">Otis</t>
  </si>
  <si>
    <t xml:space="preserve">USD</t>
  </si>
  <si>
    <t xml:space="preserve">Otis Q4/FY2025 earnings release (otisinvestors.com, 28 Jan 2026)</t>
  </si>
  <si>
    <t xml:space="preserve">Otis Q4/FY2025 earnings release (otisinvestors.com, 28 Jan 2026); adjusted operating profit</t>
  </si>
  <si>
    <t xml:space="preserve">Otis Q4/FY2025 earnings release (otisinvestors.com, 28 Jan 2026); GAAP operating profit</t>
  </si>
  <si>
    <t xml:space="preserve">Otis Q4/FY2025 earnings release (otisinvestors.com, 28 Jan 2026); Service segment incl. modernization</t>
  </si>
  <si>
    <t xml:space="preserve">people</t>
  </si>
  <si>
    <t xml:space="preserve">Otis Q4/FY2025 earnings release (otisinvestors.com, 28 Jan 2026); approx.</t>
  </si>
  <si>
    <t xml:space="preserve">Schindler</t>
  </si>
  <si>
    <t xml:space="preserve">CHF</t>
  </si>
  <si>
    <t xml:space="preserve">Schindler Annual Report 2025 (reports.schindler.com)</t>
  </si>
  <si>
    <t xml:space="preserve">Schindler Annual Report 2025 (reports.schindler.com); note 4 Revenue</t>
  </si>
  <si>
    <t xml:space="preserve">Sales EMEA</t>
  </si>
  <si>
    <t xml:space="preserve">Sales Asia-Pacific</t>
  </si>
  <si>
    <t xml:space="preserve">Schindler Annual Report 2025 (reports.schindler.com); note 6 Employees</t>
  </si>
  <si>
    <t xml:space="preserve">TKE</t>
  </si>
  <si>
    <t xml:space="preserve">FY Oct24-Sep25</t>
  </si>
  <si>
    <t xml:space="preserve">TK Elevator FY2024/25 results release (tkelevator.com, 9 Dec 2025); 'EUR 9.2 billion' (rounded)</t>
  </si>
  <si>
    <t xml:space="preserve">TK Elevator FY2024/25 results release (tkelevator.com, 9 Dec 2025)</t>
  </si>
  <si>
    <t xml:space="preserve">Adjusted EBITDA margin</t>
  </si>
  <si>
    <t xml:space="preserve">Service and modernization share</t>
  </si>
  <si>
    <t xml:space="preserve">AFP report on the KONE deal, 29 Apr 2026 (kpcnews.com)</t>
  </si>
  <si>
    <t xml:space="preserve">TK Elevator FY2024/25 results release (tkelevator.com, 9 Dec 2025); approx.</t>
  </si>
  <si>
    <t xml:space="preserve">H1 FY2025/26</t>
  </si>
  <si>
    <t xml:space="preserve">TKE H1 FY2025/26 release (infogreen.lu); 'more than 1.4 million'</t>
  </si>
  <si>
    <t xml:space="preserve">KONE + TKE</t>
  </si>
  <si>
    <t xml:space="preserve">Combined sales (announced)</t>
  </si>
  <si>
    <t xml:space="preserve">Last FY</t>
  </si>
  <si>
    <t xml:space="preserve">KONE deal announcement, 29 Apr 2026 (Reuters)</t>
  </si>
  <si>
    <t xml:space="preserve">Combined units under maintenance (announced)</t>
  </si>
  <si>
    <t xml:space="preserve">2026</t>
  </si>
  <si>
    <t xml:space="preserve">KONE deal announcement (Yahoo Finance / Quartz, 29 Apr 2026)</t>
  </si>
  <si>
    <t xml:space="preserve">Benchmark, FY2025 (EUR millions unless stated)</t>
  </si>
  <si>
    <t xml:space="preserve">All values are formulas: SUMIFS on Raw_Data, divided by the company's FX rate from Inputs.</t>
  </si>
  <si>
    <t xml:space="preserve">Rank of KONE</t>
  </si>
  <si>
    <t xml:space="preserve">Reporting currency</t>
  </si>
  <si>
    <t xml:space="preserve">FX rate (per EUR)</t>
  </si>
  <si>
    <t xml:space="preserve">Converted at 2025 average rates</t>
  </si>
  <si>
    <t xml:space="preserve">Sales growth, reported (%)</t>
  </si>
  <si>
    <t xml:space="preserve">In reporting currency; TKE prior-year sales not collected</t>
  </si>
  <si>
    <t xml:space="preserve">Otis and TKE do not publish a comparable total</t>
  </si>
  <si>
    <t xml:space="preserve">Adjusted EBIT margin (%)</t>
  </si>
  <si>
    <t xml:space="preserve">Company-defined; see README caveats</t>
  </si>
  <si>
    <t xml:space="preserve">Sales x adjusted margin (keeps all four on one basis)</t>
  </si>
  <si>
    <t xml:space="preserve">Reported EBIT margin (%)</t>
  </si>
  <si>
    <t xml:space="preserve">TKE does not publish reported EBIT in its results release</t>
  </si>
  <si>
    <t xml:space="preserve">Service &amp; modernization share (%)</t>
  </si>
  <si>
    <t xml:space="preserve">Schindler does not disclose its mix</t>
  </si>
  <si>
    <t xml:space="preserve">Headcount or FTE, as reported</t>
  </si>
  <si>
    <t xml:space="preserve">Sales per employee (EUR k)</t>
  </si>
  <si>
    <t xml:space="preserve">Productivity proxy</t>
  </si>
  <si>
    <t xml:space="preserve">Units under maintenance (m)</t>
  </si>
  <si>
    <t xml:space="preserve">Approximate figures; Schindler not collected</t>
  </si>
  <si>
    <t xml:space="preserve">Service &amp; mod. sales per maintained unit (EUR)</t>
  </si>
  <si>
    <t xml:space="preserve">Indicative only: units and revenue definitions differ</t>
  </si>
  <si>
    <t xml:space="preserve">KONE gap to best peer, adjusted EBIT margin (pp)</t>
  </si>
  <si>
    <t xml:space="preserve">KONE adjusted EBIT gap to Otis margin (EUR m at KONE sales)</t>
  </si>
  <si>
    <t xml:space="preserve">KONE Greater China share of sales (%)</t>
  </si>
  <si>
    <t xml:space="preserve">Pro forma KONE + TKE vs Otis and Schindler (EUR millions)</t>
  </si>
  <si>
    <t xml:space="preserve">Simple sum of last reported fiscal years. Ignores divestments, integration costs and financing.</t>
  </si>
  <si>
    <t xml:space="preserve">TKE fiscal year ends 30 Sep 2025</t>
  </si>
  <si>
    <t xml:space="preserve">Adjusted EBIT, before synergies</t>
  </si>
  <si>
    <t xml:space="preserve">Sales x company-defined adjusted margin</t>
  </si>
  <si>
    <t xml:space="preserve">Adjusted EBIT margin, before synergies</t>
  </si>
  <si>
    <t xml:space="preserve">Synergies realised (selected scenario)</t>
  </si>
  <si>
    <t xml:space="preserve">Announced EUR 700m run-rate x scenario share (Inputs)</t>
  </si>
  <si>
    <t xml:space="preserve">Adjusted EBIT, after synergies</t>
  </si>
  <si>
    <t xml:space="preserve">Adjusted EBIT margin, after synergies</t>
  </si>
  <si>
    <t xml:space="preserve">Compare with Otis in E7</t>
  </si>
  <si>
    <t xml:space="preserve">Scale vs Otis (sales multiple)</t>
  </si>
  <si>
    <t xml:space="preserve">Announced combined figure: ~3.2m</t>
  </si>
  <si>
    <t xml:space="preserve">Service &amp; modernization share</t>
  </si>
  <si>
    <t xml:space="preserve">TKE US share from press report</t>
  </si>
  <si>
    <t xml:space="preserve">Sensitivity: combined adjusted EBIT margin by synergy realisation</t>
  </si>
  <si>
    <t xml:space="preserve">Synergies realised</t>
  </si>
  <si>
    <t xml:space="preserve">Combined margin</t>
  </si>
  <si>
    <t xml:space="preserve">Gap to Otis (pp)</t>
  </si>
  <si>
    <t xml:space="preserve">Checks</t>
  </si>
  <si>
    <t xml:space="preserve">#</t>
  </si>
  <si>
    <t xml:space="preserve">Test</t>
  </si>
  <si>
    <t xml:space="preserve">Calculated</t>
  </si>
  <si>
    <t xml:space="preserve">Expected</t>
  </si>
  <si>
    <t xml:space="preserve">Tolerance</t>
  </si>
  <si>
    <t xml:space="preserve">Result</t>
  </si>
  <si>
    <t xml:space="preserve">KONE business lines sum to group sales</t>
  </si>
  <si>
    <t xml:space="preserve">KONE areas sum to group sales</t>
  </si>
  <si>
    <t xml:space="preserve">Otis segments sum to group sales</t>
  </si>
  <si>
    <t xml:space="preserve">Schindler regions sum to group revenue</t>
  </si>
  <si>
    <t xml:space="preserve">KONE adjusted EBIT / sales matches reported margin</t>
  </si>
  <si>
    <t xml:space="preserve">Otis adjusted EBIT / sales matches reported margin</t>
  </si>
  <si>
    <t xml:space="preserve">Pro forma sales close to announced EUR 20.5bn</t>
  </si>
  <si>
    <t xml:space="preserve">Pro forma units close to announced 3.2m</t>
  </si>
  <si>
    <t xml:space="preserve">FX rates are positive</t>
  </si>
  <si>
    <t xml:space="preserve">Every Raw_Data row has a source</t>
  </si>
  <si>
    <t xml:space="preserve">Overall result</t>
  </si>
  <si>
    <t xml:space="preserve">Dashboard</t>
  </si>
  <si>
    <t xml:space="preserve">Chart data (linked)</t>
  </si>
  <si>
    <t xml:space="preserve">Sales (EUR bn)</t>
  </si>
  <si>
    <t xml:space="preserve">Adj. EBIT margin</t>
  </si>
  <si>
    <t xml:space="preserve">Service &amp; mod. share</t>
  </si>
  <si>
    <t xml:space="preserve">Schindler mix not disclosed (shown as 0). KONE + TKE margin includes selected synergy scenario.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</si>
</sst>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0"/>
    <numFmt numFmtId="166" formatCode="#,##0"/>
    <numFmt numFmtId="167" formatCode="0%"/>
    <numFmt numFmtId="168" formatCode="0.0%"/>
    <numFmt numFmtId="169" formatCode="#,##0.0"/>
    <numFmt numFmtId="170" formatCode="0.0"/>
    <numFmt numFmtId="171" formatCode="0.00\x"/>
    <numFmt numFmtId="172" formatCode="0.00\x"/>
    <numFmt numFmtId="173" formatCode="0.0;\-0.0;0.0"/>
    <numFmt numFmtId="174" formatCode="#,##0.000"/>
    <numFmt numFmtId="175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6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8EEF5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9F9F9"/>
      <rgbColor rgb="FFE8EE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FY2025 (EUR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>Sales (EUR bn)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Dashboard!$A$5:$A$9</c:f>
              <c:strCache>
                <c:ptCount val="5"/>
                <c:pt idx="0">
                  <c:v>KONE</c:v>
                </c:pt>
                <c:pt idx="1">
                  <c:v>Otis</c:v>
                </c:pt>
                <c:pt idx="2">
                  <c:v>Schindler</c:v>
                </c:pt>
                <c:pt idx="3">
                  <c:v>TKE</c:v>
                </c:pt>
                <c:pt idx="4">
                  <c:v>KONE + TKE</c:v>
                </c:pt>
              </c:strCache>
            </c:strRef>
          </c:cat>
          <c:val>
            <c:numRef>
              <c:f>Dashboard!$B$5:$B$9</c:f>
              <c:numCache>
                <c:formatCode>0.0</c:formatCode>
                <c:ptCount val="5"/>
                <c:pt idx="0">
                  <c:v>11.2452</c:v>
                </c:pt>
                <c:pt idx="1">
                  <c:v>12.770796460177</c:v>
                </c:pt>
                <c:pt idx="2">
                  <c:v>11.6830309498399</c:v>
                </c:pt>
                <c:pt idx="3">
                  <c:v>9.2</c:v>
                </c:pt>
                <c:pt idx="4">
                  <c:v>20.4452</c:v>
                </c:pt>
              </c:numCache>
            </c:numRef>
          </c:val>
        </c:ser>
        <c:gapWidth val="150"/>
        <c:overlap val="0"/>
        <c:axId val="44478811"/>
        <c:axId val="44356414"/>
      </c:barChart>
      <c:catAx>
        <c:axId val="444788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56414"/>
        <c:crosses val="autoZero"/>
        <c:auto val="1"/>
        <c:lblAlgn val="ctr"/>
        <c:lblOffset val="100"/>
        <c:noMultiLvlLbl val="0"/>
      </c:catAx>
      <c:valAx>
        <c:axId val="4435641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788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EBIT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</c:f>
              <c:strCache>
                <c:ptCount val="1"/>
                <c:pt idx="0">
                  <c:v>Adj. EBIT margin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Dashboard!$A$5:$A$9</c:f>
              <c:strCache>
                <c:ptCount val="5"/>
                <c:pt idx="0">
                  <c:v>KONE</c:v>
                </c:pt>
                <c:pt idx="1">
                  <c:v>Otis</c:v>
                </c:pt>
                <c:pt idx="2">
                  <c:v>Schindler</c:v>
                </c:pt>
                <c:pt idx="3">
                  <c:v>TKE</c:v>
                </c:pt>
                <c:pt idx="4">
                  <c:v>KONE + TKE</c:v>
                </c:pt>
              </c:strCache>
            </c:strRef>
          </c:cat>
          <c:val>
            <c:numRef>
              <c:f>Dashboard!$C$5:$C$9</c:f>
              <c:numCache>
                <c:formatCode>0.0%</c:formatCode>
                <c:ptCount val="5"/>
                <c:pt idx="0">
                  <c:v>0.122</c:v>
                </c:pt>
                <c:pt idx="1">
                  <c:v>0.169</c:v>
                </c:pt>
                <c:pt idx="2">
                  <c:v>0.133</c:v>
                </c:pt>
                <c:pt idx="3">
                  <c:v>0.148</c:v>
                </c:pt>
                <c:pt idx="4">
                  <c:v>0.150818500185863</c:v>
                </c:pt>
              </c:numCache>
            </c:numRef>
          </c:val>
        </c:ser>
        <c:gapWidth val="150"/>
        <c:overlap val="0"/>
        <c:axId val="66030572"/>
        <c:axId val="69403279"/>
      </c:barChart>
      <c:catAx>
        <c:axId val="660305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03279"/>
        <c:crosses val="autoZero"/>
        <c:auto val="1"/>
        <c:lblAlgn val="ctr"/>
        <c:lblOffset val="100"/>
        <c:noMultiLvlLbl val="0"/>
      </c:catAx>
      <c:valAx>
        <c:axId val="694032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305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Service &amp; modernization share of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Dashboard!D4</c:f>
              <c:strCache>
                <c:ptCount val="1"/>
                <c:pt idx="0">
                  <c:v>Service &amp; mod. share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Dashboard!$A$5:$A$9</c:f>
              <c:strCache>
                <c:ptCount val="5"/>
                <c:pt idx="0">
                  <c:v>KONE</c:v>
                </c:pt>
                <c:pt idx="1">
                  <c:v>Otis</c:v>
                </c:pt>
                <c:pt idx="2">
                  <c:v>Schindler</c:v>
                </c:pt>
                <c:pt idx="3">
                  <c:v>TKE</c:v>
                </c:pt>
                <c:pt idx="4">
                  <c:v>KONE + TKE</c:v>
                </c:pt>
              </c:strCache>
            </c:strRef>
          </c:cat>
          <c:val>
            <c:numRef>
              <c:f>Dashboard!$D$5:$D$9</c:f>
              <c:numCache>
                <c:formatCode>0.0%</c:formatCode>
                <c:ptCount val="5"/>
                <c:pt idx="0">
                  <c:v>0.635613417280262</c:v>
                </c:pt>
                <c:pt idx="1">
                  <c:v>0.654285912272192</c:v>
                </c:pt>
                <c:pt idx="2">
                  <c:v>0</c:v>
                </c:pt>
                <c:pt idx="3">
                  <c:v>0.65</c:v>
                </c:pt>
                <c:pt idx="4">
                  <c:v>0.64208714025786</c:v>
                </c:pt>
              </c:numCache>
            </c:numRef>
          </c:val>
        </c:ser>
        <c:gapWidth val="150"/>
        <c:overlap val="0"/>
        <c:axId val="45737200"/>
        <c:axId val="8628746"/>
      </c:barChart>
      <c:catAx>
        <c:axId val="4573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8746"/>
        <c:crosses val="autoZero"/>
        <c:auto val="1"/>
        <c:lblAlgn val="ctr"/>
        <c:lblOffset val="100"/>
        <c:noMultiLvlLbl val="0"/>
      </c:catAx>
      <c:valAx>
        <c:axId val="862874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372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13</xdr:col>
      <xdr:colOff>507600</xdr:colOff>
      <xdr:row>15</xdr:row>
      <xdr:rowOff>42840</xdr:rowOff>
    </xdr:to>
    <xdr:graphicFrame>
      <xdr:nvGraphicFramePr>
        <xdr:cNvPr id="0" name="Chart 1"/>
        <xdr:cNvGraphicFramePr/>
      </xdr:nvGraphicFramePr>
      <xdr:xfrm>
        <a:off x="519300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10080</xdr:rowOff>
    </xdr:from>
    <xdr:to>
      <xdr:col>13</xdr:col>
      <xdr:colOff>507600</xdr:colOff>
      <xdr:row>31</xdr:row>
      <xdr:rowOff>42840</xdr:rowOff>
    </xdr:to>
    <xdr:graphicFrame>
      <xdr:nvGraphicFramePr>
        <xdr:cNvPr id="1" name="Chart 2"/>
        <xdr:cNvGraphicFramePr/>
      </xdr:nvGraphicFramePr>
      <xdr:xfrm>
        <a:off x="519300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33</xdr:row>
      <xdr:rowOff>10440</xdr:rowOff>
    </xdr:from>
    <xdr:to>
      <xdr:col>13</xdr:col>
      <xdr:colOff>507600</xdr:colOff>
      <xdr:row>47</xdr:row>
      <xdr:rowOff>42840</xdr:rowOff>
    </xdr:to>
    <xdr:graphicFrame>
      <xdr:nvGraphicFramePr>
        <xdr:cNvPr id="2" name="Chart 3"/>
        <xdr:cNvGraphicFramePr/>
      </xdr:nvGraphicFramePr>
      <xdr:xfrm>
        <a:off x="5193000" y="6477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Raw" displayName="tblRaw" ref="A3:G46" headerRowCount="1" totalsRowCount="0" totalsRowShown="0">
  <autoFilter ref="A3:G46"/>
  <tableColumns count="7">
    <tableColumn id="1" name="Company"/>
    <tableColumn id="2" name="Metric"/>
    <tableColumn id="3" name="Value"/>
    <tableColumn id="4" name="Unit"/>
    <tableColumn id="5" name="Currency"/>
    <tableColumn id="6" name="Period"/>
    <tableColumn id="7" name="Sour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7" customFormat="false" ht="15" hidden="false" customHeight="false" outlineLevel="0" collapsed="false">
      <c r="A27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</row>
    <row r="4" customFormat="false" ht="15" hidden="false" customHeight="false" outlineLevel="0" collapsed="false">
      <c r="A4" s="3" t="s">
        <v>27</v>
      </c>
      <c r="B4" s="6" t="n">
        <v>1.13</v>
      </c>
      <c r="C4" s="3" t="s">
        <v>28</v>
      </c>
      <c r="D4" s="4" t="s">
        <v>29</v>
      </c>
    </row>
    <row r="5" customFormat="false" ht="15" hidden="false" customHeight="false" outlineLevel="0" collapsed="false">
      <c r="A5" s="3" t="s">
        <v>30</v>
      </c>
      <c r="B5" s="6" t="n">
        <v>0.937</v>
      </c>
      <c r="C5" s="3" t="s">
        <v>31</v>
      </c>
      <c r="D5" s="4" t="s">
        <v>29</v>
      </c>
    </row>
    <row r="6" customFormat="false" ht="15" hidden="false" customHeight="false" outlineLevel="0" collapsed="false">
      <c r="A6" s="3" t="s">
        <v>32</v>
      </c>
      <c r="B6" s="7" t="n">
        <v>1</v>
      </c>
      <c r="C6" s="3"/>
      <c r="D6" s="4" t="s">
        <v>33</v>
      </c>
    </row>
    <row r="7" customFormat="false" ht="15" hidden="false" customHeight="false" outlineLevel="0" collapsed="false">
      <c r="A7" s="3" t="s">
        <v>34</v>
      </c>
      <c r="B7" s="8" t="n">
        <v>700</v>
      </c>
      <c r="C7" s="3" t="s">
        <v>35</v>
      </c>
      <c r="D7" s="4" t="s">
        <v>36</v>
      </c>
    </row>
    <row r="8" customFormat="false" ht="15" hidden="false" customHeight="false" outlineLevel="0" collapsed="false">
      <c r="A8" s="3" t="s">
        <v>37</v>
      </c>
      <c r="B8" s="9" t="s">
        <v>38</v>
      </c>
      <c r="C8" s="3"/>
      <c r="D8" s="4" t="s">
        <v>39</v>
      </c>
    </row>
    <row r="11" customFormat="false" ht="15" hidden="false" customHeight="false" outlineLevel="0" collapsed="false">
      <c r="A11" s="2" t="s">
        <v>40</v>
      </c>
    </row>
    <row r="12" customFormat="false" ht="26.85" hidden="false" customHeight="false" outlineLevel="0" collapsed="false">
      <c r="A12" s="5" t="s">
        <v>41</v>
      </c>
      <c r="B12" s="5" t="s">
        <v>42</v>
      </c>
      <c r="C12" s="5"/>
      <c r="D12" s="5" t="s">
        <v>43</v>
      </c>
    </row>
    <row r="13" customFormat="false" ht="15" hidden="false" customHeight="false" outlineLevel="0" collapsed="false">
      <c r="A13" s="3" t="s">
        <v>44</v>
      </c>
      <c r="B13" s="10" t="n">
        <v>0.25</v>
      </c>
      <c r="D13" s="4" t="s">
        <v>45</v>
      </c>
    </row>
    <row r="14" customFormat="false" ht="15" hidden="false" customHeight="false" outlineLevel="0" collapsed="false">
      <c r="A14" s="3" t="s">
        <v>38</v>
      </c>
      <c r="B14" s="10" t="n">
        <v>0.5</v>
      </c>
      <c r="D14" s="4" t="s">
        <v>46</v>
      </c>
    </row>
    <row r="15" customFormat="false" ht="15" hidden="false" customHeight="false" outlineLevel="0" collapsed="false">
      <c r="A15" s="3" t="s">
        <v>47</v>
      </c>
      <c r="B15" s="10" t="n">
        <v>1</v>
      </c>
      <c r="D15" s="4" t="s">
        <v>48</v>
      </c>
    </row>
    <row r="17" customFormat="false" ht="15" hidden="false" customHeight="false" outlineLevel="0" collapsed="false">
      <c r="A17" s="2" t="s">
        <v>49</v>
      </c>
      <c r="B17" s="11" t="n">
        <f aca="false">INDEX($B$13:$B$15,MATCH($B$8,$A$13:$A$15,0))</f>
        <v>0.5</v>
      </c>
    </row>
  </sheetData>
  <dataValidations count="1">
    <dataValidation allowBlank="false" errorStyle="stop" operator="between" showDropDown="false" showErrorMessage="false" showInputMessage="false" sqref="B8" type="list">
      <formula1>"Low,Base,Full"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15"/>
    <col collapsed="false" customWidth="true" hidden="false" outlineLevel="0" max="7" min="7" style="0" width="95"/>
  </cols>
  <sheetData>
    <row r="1" customFormat="false" ht="17.35" hidden="false" customHeight="false" outlineLevel="0" collapsed="false">
      <c r="A1" s="1" t="s">
        <v>50</v>
      </c>
    </row>
    <row r="3" customFormat="false" ht="26.85" hidden="false" customHeight="false" outlineLevel="0" collapsed="false">
      <c r="A3" s="5" t="s">
        <v>51</v>
      </c>
      <c r="B3" s="5" t="s">
        <v>52</v>
      </c>
      <c r="C3" s="5" t="s">
        <v>24</v>
      </c>
      <c r="D3" s="5" t="s">
        <v>25</v>
      </c>
      <c r="E3" s="5" t="s">
        <v>53</v>
      </c>
      <c r="F3" s="5" t="s">
        <v>54</v>
      </c>
      <c r="G3" s="5" t="s">
        <v>55</v>
      </c>
    </row>
    <row r="4" customFormat="false" ht="15" hidden="false" customHeight="false" outlineLevel="0" collapsed="false">
      <c r="A4" s="3" t="s">
        <v>56</v>
      </c>
      <c r="B4" s="3" t="s">
        <v>57</v>
      </c>
      <c r="C4" s="12" t="n">
        <v>11245.2</v>
      </c>
      <c r="D4" s="3" t="s">
        <v>58</v>
      </c>
      <c r="E4" s="3" t="s">
        <v>59</v>
      </c>
      <c r="F4" s="3" t="s">
        <v>60</v>
      </c>
      <c r="G4" s="3" t="s">
        <v>61</v>
      </c>
    </row>
    <row r="5" customFormat="false" ht="15" hidden="false" customHeight="false" outlineLevel="0" collapsed="false">
      <c r="A5" s="3" t="s">
        <v>56</v>
      </c>
      <c r="B5" s="3" t="s">
        <v>62</v>
      </c>
      <c r="C5" s="12" t="n">
        <v>11098.4</v>
      </c>
      <c r="D5" s="3" t="s">
        <v>58</v>
      </c>
      <c r="E5" s="3" t="s">
        <v>59</v>
      </c>
      <c r="F5" s="3" t="s">
        <v>63</v>
      </c>
      <c r="G5" s="3" t="s">
        <v>61</v>
      </c>
    </row>
    <row r="6" customFormat="false" ht="15" hidden="false" customHeight="false" outlineLevel="0" collapsed="false">
      <c r="A6" s="3" t="s">
        <v>56</v>
      </c>
      <c r="B6" s="3" t="s">
        <v>64</v>
      </c>
      <c r="C6" s="12" t="n">
        <v>9087.4</v>
      </c>
      <c r="D6" s="3" t="s">
        <v>58</v>
      </c>
      <c r="E6" s="3" t="s">
        <v>59</v>
      </c>
      <c r="F6" s="3" t="s">
        <v>60</v>
      </c>
      <c r="G6" s="3" t="s">
        <v>65</v>
      </c>
    </row>
    <row r="7" customFormat="false" ht="15" hidden="false" customHeight="false" outlineLevel="0" collapsed="false">
      <c r="A7" s="3" t="s">
        <v>56</v>
      </c>
      <c r="B7" s="3" t="s">
        <v>66</v>
      </c>
      <c r="C7" s="12" t="n">
        <v>1369.3</v>
      </c>
      <c r="D7" s="3" t="s">
        <v>58</v>
      </c>
      <c r="E7" s="3" t="s">
        <v>59</v>
      </c>
      <c r="F7" s="3" t="s">
        <v>60</v>
      </c>
      <c r="G7" s="3" t="s">
        <v>61</v>
      </c>
    </row>
    <row r="8" customFormat="false" ht="15" hidden="false" customHeight="false" outlineLevel="0" collapsed="false">
      <c r="A8" s="3" t="s">
        <v>56</v>
      </c>
      <c r="B8" s="3" t="s">
        <v>67</v>
      </c>
      <c r="C8" s="13" t="n">
        <v>0.122</v>
      </c>
      <c r="D8" s="3" t="s">
        <v>68</v>
      </c>
      <c r="E8" s="3"/>
      <c r="F8" s="3" t="s">
        <v>60</v>
      </c>
      <c r="G8" s="3" t="s">
        <v>61</v>
      </c>
    </row>
    <row r="9" customFormat="false" ht="15" hidden="false" customHeight="false" outlineLevel="0" collapsed="false">
      <c r="A9" s="3" t="s">
        <v>56</v>
      </c>
      <c r="B9" s="3" t="s">
        <v>69</v>
      </c>
      <c r="C9" s="12" t="n">
        <v>1336.2</v>
      </c>
      <c r="D9" s="3" t="s">
        <v>58</v>
      </c>
      <c r="E9" s="3" t="s">
        <v>59</v>
      </c>
      <c r="F9" s="3" t="s">
        <v>60</v>
      </c>
      <c r="G9" s="3" t="s">
        <v>61</v>
      </c>
    </row>
    <row r="10" customFormat="false" ht="15" hidden="false" customHeight="false" outlineLevel="0" collapsed="false">
      <c r="A10" s="3" t="s">
        <v>56</v>
      </c>
      <c r="B10" s="3" t="s">
        <v>70</v>
      </c>
      <c r="C10" s="12" t="n">
        <v>4097.7</v>
      </c>
      <c r="D10" s="3" t="s">
        <v>58</v>
      </c>
      <c r="E10" s="3" t="s">
        <v>59</v>
      </c>
      <c r="F10" s="3" t="s">
        <v>60</v>
      </c>
      <c r="G10" s="3" t="s">
        <v>71</v>
      </c>
    </row>
    <row r="11" customFormat="false" ht="15" hidden="false" customHeight="false" outlineLevel="0" collapsed="false">
      <c r="A11" s="3" t="s">
        <v>56</v>
      </c>
      <c r="B11" s="3" t="s">
        <v>72</v>
      </c>
      <c r="C11" s="12" t="n">
        <v>4753.6</v>
      </c>
      <c r="D11" s="3" t="s">
        <v>58</v>
      </c>
      <c r="E11" s="3" t="s">
        <v>59</v>
      </c>
      <c r="F11" s="3" t="s">
        <v>60</v>
      </c>
      <c r="G11" s="3" t="s">
        <v>61</v>
      </c>
    </row>
    <row r="12" customFormat="false" ht="15" hidden="false" customHeight="false" outlineLevel="0" collapsed="false">
      <c r="A12" s="3" t="s">
        <v>56</v>
      </c>
      <c r="B12" s="3" t="s">
        <v>73</v>
      </c>
      <c r="C12" s="12" t="n">
        <v>2394</v>
      </c>
      <c r="D12" s="3" t="s">
        <v>58</v>
      </c>
      <c r="E12" s="3" t="s">
        <v>59</v>
      </c>
      <c r="F12" s="3" t="s">
        <v>60</v>
      </c>
      <c r="G12" s="3" t="s">
        <v>61</v>
      </c>
    </row>
    <row r="13" customFormat="false" ht="15" hidden="false" customHeight="false" outlineLevel="0" collapsed="false">
      <c r="A13" s="3" t="s">
        <v>56</v>
      </c>
      <c r="B13" s="3" t="s">
        <v>74</v>
      </c>
      <c r="C13" s="12" t="n">
        <v>2812.1</v>
      </c>
      <c r="D13" s="3" t="s">
        <v>58</v>
      </c>
      <c r="E13" s="3" t="s">
        <v>59</v>
      </c>
      <c r="F13" s="3" t="s">
        <v>60</v>
      </c>
      <c r="G13" s="3" t="s">
        <v>61</v>
      </c>
    </row>
    <row r="14" customFormat="false" ht="15" hidden="false" customHeight="false" outlineLevel="0" collapsed="false">
      <c r="A14" s="3" t="s">
        <v>56</v>
      </c>
      <c r="B14" s="3" t="s">
        <v>75</v>
      </c>
      <c r="C14" s="12" t="n">
        <v>4524.4</v>
      </c>
      <c r="D14" s="3" t="s">
        <v>58</v>
      </c>
      <c r="E14" s="3" t="s">
        <v>59</v>
      </c>
      <c r="F14" s="3" t="s">
        <v>60</v>
      </c>
      <c r="G14" s="3" t="s">
        <v>61</v>
      </c>
    </row>
    <row r="15" customFormat="false" ht="15" hidden="false" customHeight="false" outlineLevel="0" collapsed="false">
      <c r="A15" s="3" t="s">
        <v>56</v>
      </c>
      <c r="B15" s="3" t="s">
        <v>76</v>
      </c>
      <c r="C15" s="12" t="n">
        <v>1742.7</v>
      </c>
      <c r="D15" s="3" t="s">
        <v>58</v>
      </c>
      <c r="E15" s="3" t="s">
        <v>59</v>
      </c>
      <c r="F15" s="3" t="s">
        <v>60</v>
      </c>
      <c r="G15" s="3" t="s">
        <v>61</v>
      </c>
    </row>
    <row r="16" customFormat="false" ht="15" hidden="false" customHeight="false" outlineLevel="0" collapsed="false">
      <c r="A16" s="3" t="s">
        <v>56</v>
      </c>
      <c r="B16" s="3" t="s">
        <v>77</v>
      </c>
      <c r="C16" s="12" t="n">
        <v>2166</v>
      </c>
      <c r="D16" s="3" t="s">
        <v>58</v>
      </c>
      <c r="E16" s="3" t="s">
        <v>59</v>
      </c>
      <c r="F16" s="3" t="s">
        <v>60</v>
      </c>
      <c r="G16" s="3" t="s">
        <v>61</v>
      </c>
    </row>
    <row r="17" customFormat="false" ht="15" hidden="false" customHeight="false" outlineLevel="0" collapsed="false">
      <c r="A17" s="3" t="s">
        <v>56</v>
      </c>
      <c r="B17" s="3" t="s">
        <v>78</v>
      </c>
      <c r="C17" s="13" t="n">
        <v>0.21</v>
      </c>
      <c r="D17" s="3" t="s">
        <v>68</v>
      </c>
      <c r="E17" s="3"/>
      <c r="F17" s="3" t="s">
        <v>60</v>
      </c>
      <c r="G17" s="3" t="s">
        <v>79</v>
      </c>
    </row>
    <row r="18" customFormat="false" ht="15" hidden="false" customHeight="false" outlineLevel="0" collapsed="false">
      <c r="A18" s="3" t="s">
        <v>56</v>
      </c>
      <c r="B18" s="3" t="s">
        <v>80</v>
      </c>
      <c r="C18" s="12" t="n">
        <v>64978</v>
      </c>
      <c r="D18" s="3" t="s">
        <v>81</v>
      </c>
      <c r="E18" s="3"/>
      <c r="F18" s="3" t="s">
        <v>82</v>
      </c>
      <c r="G18" s="3" t="s">
        <v>61</v>
      </c>
    </row>
    <row r="19" customFormat="false" ht="15" hidden="false" customHeight="false" outlineLevel="0" collapsed="false">
      <c r="A19" s="3" t="s">
        <v>56</v>
      </c>
      <c r="B19" s="3" t="s">
        <v>83</v>
      </c>
      <c r="C19" s="14" t="n">
        <v>1.8</v>
      </c>
      <c r="D19" s="3" t="s">
        <v>84</v>
      </c>
      <c r="E19" s="3"/>
      <c r="F19" s="3" t="s">
        <v>82</v>
      </c>
      <c r="G19" s="3" t="s">
        <v>85</v>
      </c>
    </row>
    <row r="20" customFormat="false" ht="15" hidden="false" customHeight="false" outlineLevel="0" collapsed="false">
      <c r="A20" s="3" t="s">
        <v>86</v>
      </c>
      <c r="B20" s="3" t="s">
        <v>57</v>
      </c>
      <c r="C20" s="12" t="n">
        <v>14431</v>
      </c>
      <c r="D20" s="3" t="s">
        <v>58</v>
      </c>
      <c r="E20" s="3" t="s">
        <v>87</v>
      </c>
      <c r="F20" s="3" t="s">
        <v>60</v>
      </c>
      <c r="G20" s="3" t="s">
        <v>88</v>
      </c>
    </row>
    <row r="21" customFormat="false" ht="15" hidden="false" customHeight="false" outlineLevel="0" collapsed="false">
      <c r="A21" s="3" t="s">
        <v>86</v>
      </c>
      <c r="B21" s="3" t="s">
        <v>62</v>
      </c>
      <c r="C21" s="12" t="n">
        <v>14261</v>
      </c>
      <c r="D21" s="3" t="s">
        <v>58</v>
      </c>
      <c r="E21" s="3" t="s">
        <v>87</v>
      </c>
      <c r="F21" s="3" t="s">
        <v>63</v>
      </c>
      <c r="G21" s="3" t="s">
        <v>88</v>
      </c>
    </row>
    <row r="22" customFormat="false" ht="15" hidden="false" customHeight="false" outlineLevel="0" collapsed="false">
      <c r="A22" s="3" t="s">
        <v>86</v>
      </c>
      <c r="B22" s="3" t="s">
        <v>66</v>
      </c>
      <c r="C22" s="12" t="n">
        <v>2434</v>
      </c>
      <c r="D22" s="3" t="s">
        <v>58</v>
      </c>
      <c r="E22" s="3" t="s">
        <v>87</v>
      </c>
      <c r="F22" s="3" t="s">
        <v>60</v>
      </c>
      <c r="G22" s="3" t="s">
        <v>89</v>
      </c>
    </row>
    <row r="23" customFormat="false" ht="15" hidden="false" customHeight="false" outlineLevel="0" collapsed="false">
      <c r="A23" s="3" t="s">
        <v>86</v>
      </c>
      <c r="B23" s="3" t="s">
        <v>67</v>
      </c>
      <c r="C23" s="13" t="n">
        <v>0.169</v>
      </c>
      <c r="D23" s="3" t="s">
        <v>68</v>
      </c>
      <c r="E23" s="3"/>
      <c r="F23" s="3" t="s">
        <v>60</v>
      </c>
      <c r="G23" s="3" t="s">
        <v>88</v>
      </c>
    </row>
    <row r="24" customFormat="false" ht="15" hidden="false" customHeight="false" outlineLevel="0" collapsed="false">
      <c r="A24" s="3" t="s">
        <v>86</v>
      </c>
      <c r="B24" s="3" t="s">
        <v>69</v>
      </c>
      <c r="C24" s="12" t="n">
        <v>2133</v>
      </c>
      <c r="D24" s="3" t="s">
        <v>58</v>
      </c>
      <c r="E24" s="3" t="s">
        <v>87</v>
      </c>
      <c r="F24" s="3" t="s">
        <v>60</v>
      </c>
      <c r="G24" s="3" t="s">
        <v>90</v>
      </c>
    </row>
    <row r="25" customFormat="false" ht="15" hidden="false" customHeight="false" outlineLevel="0" collapsed="false">
      <c r="A25" s="3" t="s">
        <v>86</v>
      </c>
      <c r="B25" s="3" t="s">
        <v>70</v>
      </c>
      <c r="C25" s="12" t="n">
        <v>4989</v>
      </c>
      <c r="D25" s="3" t="s">
        <v>58</v>
      </c>
      <c r="E25" s="3" t="s">
        <v>87</v>
      </c>
      <c r="F25" s="3" t="s">
        <v>60</v>
      </c>
      <c r="G25" s="3" t="s">
        <v>88</v>
      </c>
    </row>
    <row r="26" customFormat="false" ht="15" hidden="false" customHeight="false" outlineLevel="0" collapsed="false">
      <c r="A26" s="3" t="s">
        <v>86</v>
      </c>
      <c r="B26" s="3" t="s">
        <v>72</v>
      </c>
      <c r="C26" s="12" t="n">
        <v>9442</v>
      </c>
      <c r="D26" s="3" t="s">
        <v>58</v>
      </c>
      <c r="E26" s="3" t="s">
        <v>87</v>
      </c>
      <c r="F26" s="3" t="s">
        <v>60</v>
      </c>
      <c r="G26" s="3" t="s">
        <v>91</v>
      </c>
    </row>
    <row r="27" customFormat="false" ht="15" hidden="false" customHeight="false" outlineLevel="0" collapsed="false">
      <c r="A27" s="3" t="s">
        <v>86</v>
      </c>
      <c r="B27" s="3" t="s">
        <v>80</v>
      </c>
      <c r="C27" s="12" t="n">
        <v>72000</v>
      </c>
      <c r="D27" s="3" t="s">
        <v>92</v>
      </c>
      <c r="E27" s="3"/>
      <c r="F27" s="3" t="s">
        <v>60</v>
      </c>
      <c r="G27" s="3" t="s">
        <v>93</v>
      </c>
    </row>
    <row r="28" customFormat="false" ht="15" hidden="false" customHeight="false" outlineLevel="0" collapsed="false">
      <c r="A28" s="3" t="s">
        <v>86</v>
      </c>
      <c r="B28" s="3" t="s">
        <v>83</v>
      </c>
      <c r="C28" s="14" t="n">
        <v>2.5</v>
      </c>
      <c r="D28" s="3" t="s">
        <v>84</v>
      </c>
      <c r="E28" s="3"/>
      <c r="F28" s="3" t="s">
        <v>60</v>
      </c>
      <c r="G28" s="3" t="s">
        <v>93</v>
      </c>
    </row>
    <row r="29" customFormat="false" ht="15" hidden="false" customHeight="false" outlineLevel="0" collapsed="false">
      <c r="A29" s="3" t="s">
        <v>94</v>
      </c>
      <c r="B29" s="3" t="s">
        <v>57</v>
      </c>
      <c r="C29" s="12" t="n">
        <v>10947</v>
      </c>
      <c r="D29" s="3" t="s">
        <v>58</v>
      </c>
      <c r="E29" s="3" t="s">
        <v>95</v>
      </c>
      <c r="F29" s="3" t="s">
        <v>60</v>
      </c>
      <c r="G29" s="3" t="s">
        <v>96</v>
      </c>
    </row>
    <row r="30" customFormat="false" ht="15" hidden="false" customHeight="false" outlineLevel="0" collapsed="false">
      <c r="A30" s="3" t="s">
        <v>94</v>
      </c>
      <c r="B30" s="3" t="s">
        <v>62</v>
      </c>
      <c r="C30" s="12" t="n">
        <v>11236</v>
      </c>
      <c r="D30" s="3" t="s">
        <v>58</v>
      </c>
      <c r="E30" s="3" t="s">
        <v>95</v>
      </c>
      <c r="F30" s="3" t="s">
        <v>63</v>
      </c>
      <c r="G30" s="3" t="s">
        <v>97</v>
      </c>
    </row>
    <row r="31" customFormat="false" ht="15" hidden="false" customHeight="false" outlineLevel="0" collapsed="false">
      <c r="A31" s="3" t="s">
        <v>94</v>
      </c>
      <c r="B31" s="3" t="s">
        <v>64</v>
      </c>
      <c r="C31" s="12" t="n">
        <v>11313</v>
      </c>
      <c r="D31" s="3" t="s">
        <v>58</v>
      </c>
      <c r="E31" s="3" t="s">
        <v>95</v>
      </c>
      <c r="F31" s="3" t="s">
        <v>60</v>
      </c>
      <c r="G31" s="3" t="s">
        <v>96</v>
      </c>
    </row>
    <row r="32" customFormat="false" ht="15" hidden="false" customHeight="false" outlineLevel="0" collapsed="false">
      <c r="A32" s="3" t="s">
        <v>94</v>
      </c>
      <c r="B32" s="3" t="s">
        <v>67</v>
      </c>
      <c r="C32" s="13" t="n">
        <v>0.133</v>
      </c>
      <c r="D32" s="3" t="s">
        <v>68</v>
      </c>
      <c r="E32" s="3"/>
      <c r="F32" s="3" t="s">
        <v>60</v>
      </c>
      <c r="G32" s="3" t="s">
        <v>96</v>
      </c>
    </row>
    <row r="33" customFormat="false" ht="15" hidden="false" customHeight="false" outlineLevel="0" collapsed="false">
      <c r="A33" s="3" t="s">
        <v>94</v>
      </c>
      <c r="B33" s="3" t="s">
        <v>69</v>
      </c>
      <c r="C33" s="12" t="n">
        <v>1384</v>
      </c>
      <c r="D33" s="3" t="s">
        <v>58</v>
      </c>
      <c r="E33" s="3" t="s">
        <v>95</v>
      </c>
      <c r="F33" s="3" t="s">
        <v>60</v>
      </c>
      <c r="G33" s="3" t="s">
        <v>96</v>
      </c>
    </row>
    <row r="34" customFormat="false" ht="15" hidden="false" customHeight="false" outlineLevel="0" collapsed="false">
      <c r="A34" s="3" t="s">
        <v>94</v>
      </c>
      <c r="B34" s="3" t="s">
        <v>98</v>
      </c>
      <c r="C34" s="12" t="n">
        <v>5255</v>
      </c>
      <c r="D34" s="3" t="s">
        <v>58</v>
      </c>
      <c r="E34" s="3" t="s">
        <v>95</v>
      </c>
      <c r="F34" s="3" t="s">
        <v>60</v>
      </c>
      <c r="G34" s="3" t="s">
        <v>97</v>
      </c>
    </row>
    <row r="35" customFormat="false" ht="15" hidden="false" customHeight="false" outlineLevel="0" collapsed="false">
      <c r="A35" s="3" t="s">
        <v>94</v>
      </c>
      <c r="B35" s="3" t="s">
        <v>74</v>
      </c>
      <c r="C35" s="12" t="n">
        <v>3214</v>
      </c>
      <c r="D35" s="3" t="s">
        <v>58</v>
      </c>
      <c r="E35" s="3" t="s">
        <v>95</v>
      </c>
      <c r="F35" s="3" t="s">
        <v>60</v>
      </c>
      <c r="G35" s="3" t="s">
        <v>97</v>
      </c>
    </row>
    <row r="36" customFormat="false" ht="15" hidden="false" customHeight="false" outlineLevel="0" collapsed="false">
      <c r="A36" s="3" t="s">
        <v>94</v>
      </c>
      <c r="B36" s="3" t="s">
        <v>99</v>
      </c>
      <c r="C36" s="12" t="n">
        <v>2478</v>
      </c>
      <c r="D36" s="3" t="s">
        <v>58</v>
      </c>
      <c r="E36" s="3" t="s">
        <v>95</v>
      </c>
      <c r="F36" s="3" t="s">
        <v>60</v>
      </c>
      <c r="G36" s="3" t="s">
        <v>97</v>
      </c>
    </row>
    <row r="37" customFormat="false" ht="15" hidden="false" customHeight="false" outlineLevel="0" collapsed="false">
      <c r="A37" s="3" t="s">
        <v>94</v>
      </c>
      <c r="B37" s="3" t="s">
        <v>80</v>
      </c>
      <c r="C37" s="12" t="n">
        <v>67381</v>
      </c>
      <c r="D37" s="3" t="s">
        <v>92</v>
      </c>
      <c r="E37" s="3"/>
      <c r="F37" s="3" t="s">
        <v>82</v>
      </c>
      <c r="G37" s="3" t="s">
        <v>100</v>
      </c>
    </row>
    <row r="38" customFormat="false" ht="15" hidden="false" customHeight="false" outlineLevel="0" collapsed="false">
      <c r="A38" s="3" t="s">
        <v>101</v>
      </c>
      <c r="B38" s="3" t="s">
        <v>57</v>
      </c>
      <c r="C38" s="12" t="n">
        <v>9200</v>
      </c>
      <c r="D38" s="3" t="s">
        <v>58</v>
      </c>
      <c r="E38" s="3" t="s">
        <v>59</v>
      </c>
      <c r="F38" s="3" t="s">
        <v>102</v>
      </c>
      <c r="G38" s="3" t="s">
        <v>103</v>
      </c>
    </row>
    <row r="39" customFormat="false" ht="15" hidden="false" customHeight="false" outlineLevel="0" collapsed="false">
      <c r="A39" s="3" t="s">
        <v>101</v>
      </c>
      <c r="B39" s="3" t="s">
        <v>67</v>
      </c>
      <c r="C39" s="13" t="n">
        <v>0.148</v>
      </c>
      <c r="D39" s="3" t="s">
        <v>68</v>
      </c>
      <c r="E39" s="3"/>
      <c r="F39" s="3" t="s">
        <v>102</v>
      </c>
      <c r="G39" s="3" t="s">
        <v>104</v>
      </c>
    </row>
    <row r="40" customFormat="false" ht="15" hidden="false" customHeight="false" outlineLevel="0" collapsed="false">
      <c r="A40" s="3" t="s">
        <v>101</v>
      </c>
      <c r="B40" s="3" t="s">
        <v>105</v>
      </c>
      <c r="C40" s="13" t="n">
        <v>0.175</v>
      </c>
      <c r="D40" s="3" t="s">
        <v>68</v>
      </c>
      <c r="E40" s="3"/>
      <c r="F40" s="3" t="s">
        <v>102</v>
      </c>
      <c r="G40" s="3" t="s">
        <v>104</v>
      </c>
    </row>
    <row r="41" customFormat="false" ht="15" hidden="false" customHeight="false" outlineLevel="0" collapsed="false">
      <c r="A41" s="3" t="s">
        <v>101</v>
      </c>
      <c r="B41" s="3" t="s">
        <v>106</v>
      </c>
      <c r="C41" s="13" t="n">
        <v>0.65</v>
      </c>
      <c r="D41" s="3" t="s">
        <v>68</v>
      </c>
      <c r="E41" s="3"/>
      <c r="F41" s="3" t="s">
        <v>102</v>
      </c>
      <c r="G41" s="3" t="s">
        <v>104</v>
      </c>
    </row>
    <row r="42" customFormat="false" ht="15" hidden="false" customHeight="false" outlineLevel="0" collapsed="false">
      <c r="A42" s="3" t="s">
        <v>101</v>
      </c>
      <c r="B42" s="3" t="s">
        <v>78</v>
      </c>
      <c r="C42" s="13" t="n">
        <v>0.45</v>
      </c>
      <c r="D42" s="3" t="s">
        <v>68</v>
      </c>
      <c r="E42" s="3"/>
      <c r="F42" s="3" t="s">
        <v>102</v>
      </c>
      <c r="G42" s="3" t="s">
        <v>107</v>
      </c>
    </row>
    <row r="43" customFormat="false" ht="15" hidden="false" customHeight="false" outlineLevel="0" collapsed="false">
      <c r="A43" s="3" t="s">
        <v>101</v>
      </c>
      <c r="B43" s="3" t="s">
        <v>80</v>
      </c>
      <c r="C43" s="12" t="n">
        <v>50000</v>
      </c>
      <c r="D43" s="3" t="s">
        <v>92</v>
      </c>
      <c r="E43" s="3"/>
      <c r="F43" s="3" t="s">
        <v>102</v>
      </c>
      <c r="G43" s="3" t="s">
        <v>108</v>
      </c>
    </row>
    <row r="44" customFormat="false" ht="15" hidden="false" customHeight="false" outlineLevel="0" collapsed="false">
      <c r="A44" s="3" t="s">
        <v>101</v>
      </c>
      <c r="B44" s="3" t="s">
        <v>83</v>
      </c>
      <c r="C44" s="14" t="n">
        <v>1.4</v>
      </c>
      <c r="D44" s="3" t="s">
        <v>84</v>
      </c>
      <c r="E44" s="3"/>
      <c r="F44" s="3" t="s">
        <v>109</v>
      </c>
      <c r="G44" s="3" t="s">
        <v>110</v>
      </c>
    </row>
    <row r="45" customFormat="false" ht="15" hidden="false" customHeight="false" outlineLevel="0" collapsed="false">
      <c r="A45" s="3" t="s">
        <v>111</v>
      </c>
      <c r="B45" s="3" t="s">
        <v>112</v>
      </c>
      <c r="C45" s="12" t="n">
        <v>20500</v>
      </c>
      <c r="D45" s="3" t="s">
        <v>58</v>
      </c>
      <c r="E45" s="3" t="s">
        <v>59</v>
      </c>
      <c r="F45" s="3" t="s">
        <v>113</v>
      </c>
      <c r="G45" s="3" t="s">
        <v>114</v>
      </c>
    </row>
    <row r="46" customFormat="false" ht="15" hidden="false" customHeight="false" outlineLevel="0" collapsed="false">
      <c r="A46" s="3" t="s">
        <v>111</v>
      </c>
      <c r="B46" s="3" t="s">
        <v>115</v>
      </c>
      <c r="C46" s="14" t="n">
        <v>3.2</v>
      </c>
      <c r="D46" s="3" t="s">
        <v>84</v>
      </c>
      <c r="E46" s="3"/>
      <c r="F46" s="3" t="s">
        <v>116</v>
      </c>
      <c r="G46" s="3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4" t="s">
        <v>119</v>
      </c>
    </row>
    <row r="3" customFormat="false" ht="15" hidden="false" customHeight="false" outlineLevel="0" collapsed="false">
      <c r="B3" s="15" t="s">
        <v>56</v>
      </c>
      <c r="C3" s="15" t="s">
        <v>86</v>
      </c>
      <c r="D3" s="15" t="s">
        <v>94</v>
      </c>
      <c r="E3" s="15" t="s">
        <v>101</v>
      </c>
    </row>
    <row r="4" customFormat="false" ht="26.85" hidden="false" customHeight="false" outlineLevel="0" collapsed="false">
      <c r="A4" s="5" t="s">
        <v>52</v>
      </c>
      <c r="B4" s="5" t="s">
        <v>56</v>
      </c>
      <c r="C4" s="5" t="s">
        <v>86</v>
      </c>
      <c r="D4" s="5" t="s">
        <v>94</v>
      </c>
      <c r="E4" s="5" t="s">
        <v>101</v>
      </c>
      <c r="F4" s="5" t="s">
        <v>120</v>
      </c>
      <c r="G4" s="5" t="s">
        <v>43</v>
      </c>
    </row>
    <row r="5" customFormat="false" ht="15" hidden="false" customHeight="false" outlineLevel="0" collapsed="false">
      <c r="A5" s="16" t="s">
        <v>121</v>
      </c>
      <c r="B5" s="17" t="s">
        <v>59</v>
      </c>
      <c r="C5" s="17" t="s">
        <v>87</v>
      </c>
      <c r="D5" s="17" t="s">
        <v>95</v>
      </c>
      <c r="E5" s="17" t="s">
        <v>59</v>
      </c>
      <c r="F5" s="16"/>
    </row>
    <row r="6" customFormat="false" ht="15" hidden="false" customHeight="false" outlineLevel="0" collapsed="false">
      <c r="A6" s="16" t="s">
        <v>122</v>
      </c>
      <c r="B6" s="18" t="n">
        <f aca="false">IF(B5="USD",Inputs!$B$4,IF(B5="CHF",Inputs!$B$5,Inputs!$B$6))</f>
        <v>1</v>
      </c>
      <c r="C6" s="18" t="n">
        <f aca="false">IF(C5="USD",Inputs!$B$4,IF(C5="CHF",Inputs!$B$5,Inputs!$B$6))</f>
        <v>1.13</v>
      </c>
      <c r="D6" s="18" t="n">
        <f aca="false">IF(D5="USD",Inputs!$B$4,IF(D5="CHF",Inputs!$B$5,Inputs!$B$6))</f>
        <v>0.937</v>
      </c>
      <c r="E6" s="18" t="n">
        <f aca="false">IF(E5="USD",Inputs!$B$4,IF(E5="CHF",Inputs!$B$5,Inputs!$B$6))</f>
        <v>1</v>
      </c>
      <c r="F6" s="16"/>
    </row>
    <row r="7" customFormat="false" ht="15" hidden="false" customHeight="false" outlineLevel="0" collapsed="false">
      <c r="A7" s="19" t="s">
        <v>57</v>
      </c>
      <c r="B7" s="20" t="n">
        <f aca="false">IF(COUNTIFS(Raw_Data!$A$4:$A$46,B$3,Raw_Data!$B$4:$B$46,"Sales")=0,"n/d",SUMIFS(Raw_Data!$C$4:$C$46,Raw_Data!$A$4:$A$46,B$3,Raw_Data!$B$4:$B$46,"Sales")/B$6)</f>
        <v>11245.2</v>
      </c>
      <c r="C7" s="20" t="n">
        <f aca="false">IF(COUNTIFS(Raw_Data!$A$4:$A$46,C$3,Raw_Data!$B$4:$B$46,"Sales")=0,"n/d",SUMIFS(Raw_Data!$C$4:$C$46,Raw_Data!$A$4:$A$46,C$3,Raw_Data!$B$4:$B$46,"Sales")/C$6)</f>
        <v>12770.796460177</v>
      </c>
      <c r="D7" s="20" t="n">
        <f aca="false">IF(COUNTIFS(Raw_Data!$A$4:$A$46,D$3,Raw_Data!$B$4:$B$46,"Sales")=0,"n/d",SUMIFS(Raw_Data!$C$4:$C$46,Raw_Data!$A$4:$A$46,D$3,Raw_Data!$B$4:$B$46,"Sales")/D$6)</f>
        <v>11683.0309498399</v>
      </c>
      <c r="E7" s="20" t="n">
        <f aca="false">IF(COUNTIFS(Raw_Data!$A$4:$A$46,E$3,Raw_Data!$B$4:$B$46,"Sales")=0,"n/d",SUMIFS(Raw_Data!$C$4:$C$46,Raw_Data!$A$4:$A$46,E$3,Raw_Data!$B$4:$B$46,"Sales")/E$6)</f>
        <v>9200</v>
      </c>
      <c r="F7" s="21" t="str">
        <f aca="false">IF(ISNUMBER(B7),SUMPRODUCT(--ISNUMBER(B7:E7),--(B7:E7&gt;B7))+1&amp;" of "&amp;COUNT(B7:E7),"n/d")</f>
        <v>3 of 4</v>
      </c>
      <c r="G7" s="4" t="s">
        <v>123</v>
      </c>
    </row>
    <row r="8" customFormat="false" ht="15" hidden="false" customHeight="false" outlineLevel="0" collapsed="false">
      <c r="A8" s="19" t="s">
        <v>124</v>
      </c>
      <c r="B8" s="22" t="n">
        <f aca="false">IF(COUNTIFS(Raw_Data!$A$4:$A$46,B$3,Raw_Data!$B$4:$B$46,"Sales prior year")=0,"n/d",SUMIFS(Raw_Data!$C$4:$C$46,Raw_Data!$A$4:$A$46,B$3,Raw_Data!$B$4:$B$46,"Sales")/SUMIFS(Raw_Data!$C$4:$C$46,Raw_Data!$A$4:$A$46,B$3,Raw_Data!$B$4:$B$46,"Sales prior year")-1)</f>
        <v>0.0132271318388237</v>
      </c>
      <c r="C8" s="22" t="n">
        <f aca="false">IF(COUNTIFS(Raw_Data!$A$4:$A$46,C$3,Raw_Data!$B$4:$B$46,"Sales prior year")=0,"n/d",SUMIFS(Raw_Data!$C$4:$C$46,Raw_Data!$A$4:$A$46,C$3,Raw_Data!$B$4:$B$46,"Sales")/SUMIFS(Raw_Data!$C$4:$C$46,Raw_Data!$A$4:$A$46,C$3,Raw_Data!$B$4:$B$46,"Sales prior year")-1)</f>
        <v>0.0119206226772317</v>
      </c>
      <c r="D8" s="22" t="n">
        <f aca="false">IF(COUNTIFS(Raw_Data!$A$4:$A$46,D$3,Raw_Data!$B$4:$B$46,"Sales prior year")=0,"n/d",SUMIFS(Raw_Data!$C$4:$C$46,Raw_Data!$A$4:$A$46,D$3,Raw_Data!$B$4:$B$46,"Sales")/SUMIFS(Raw_Data!$C$4:$C$46,Raw_Data!$A$4:$A$46,D$3,Raw_Data!$B$4:$B$46,"Sales prior year")-1)</f>
        <v>-0.0257208971164116</v>
      </c>
      <c r="E8" s="22" t="str">
        <f aca="false">IF(COUNTIFS(Raw_Data!$A$4:$A$46,E$3,Raw_Data!$B$4:$B$46,"Sales prior year")=0,"n/d",SUMIFS(Raw_Data!$C$4:$C$46,Raw_Data!$A$4:$A$46,E$3,Raw_Data!$B$4:$B$46,"Sales")/SUMIFS(Raw_Data!$C$4:$C$46,Raw_Data!$A$4:$A$46,E$3,Raw_Data!$B$4:$B$46,"Sales prior year")-1)</f>
        <v>n/d</v>
      </c>
      <c r="F8" s="21" t="str">
        <f aca="false">IF(ISNUMBER(B8),SUMPRODUCT(--ISNUMBER(B8:E8),--(B8:E8&gt;B8))+1&amp;" of "&amp;COUNT(B8:E8),"n/d")</f>
        <v>1 of 3</v>
      </c>
      <c r="G8" s="4" t="s">
        <v>125</v>
      </c>
    </row>
    <row r="9" customFormat="false" ht="15" hidden="false" customHeight="false" outlineLevel="0" collapsed="false">
      <c r="A9" s="19" t="s">
        <v>64</v>
      </c>
      <c r="B9" s="20" t="n">
        <f aca="false">IF(COUNTIFS(Raw_Data!$A$4:$A$46,B$3,Raw_Data!$B$4:$B$46,"Orders received")=0,"n/d",SUMIFS(Raw_Data!$C$4:$C$46,Raw_Data!$A$4:$A$46,B$3,Raw_Data!$B$4:$B$46,"Orders received")/B$6)</f>
        <v>9087.4</v>
      </c>
      <c r="C9" s="20" t="str">
        <f aca="false">IF(COUNTIFS(Raw_Data!$A$4:$A$46,C$3,Raw_Data!$B$4:$B$46,"Orders received")=0,"n/d",SUMIFS(Raw_Data!$C$4:$C$46,Raw_Data!$A$4:$A$46,C$3,Raw_Data!$B$4:$B$46,"Orders received")/C$6)</f>
        <v>n/d</v>
      </c>
      <c r="D9" s="20" t="n">
        <f aca="false">IF(COUNTIFS(Raw_Data!$A$4:$A$46,D$3,Raw_Data!$B$4:$B$46,"Orders received")=0,"n/d",SUMIFS(Raw_Data!$C$4:$C$46,Raw_Data!$A$4:$A$46,D$3,Raw_Data!$B$4:$B$46,"Orders received")/D$6)</f>
        <v>12073.6392742796</v>
      </c>
      <c r="E9" s="20" t="str">
        <f aca="false">IF(COUNTIFS(Raw_Data!$A$4:$A$46,E$3,Raw_Data!$B$4:$B$46,"Orders received")=0,"n/d",SUMIFS(Raw_Data!$C$4:$C$46,Raw_Data!$A$4:$A$46,E$3,Raw_Data!$B$4:$B$46,"Orders received")/E$6)</f>
        <v>n/d</v>
      </c>
      <c r="F9" s="16"/>
      <c r="G9" s="4" t="s">
        <v>126</v>
      </c>
    </row>
    <row r="10" customFormat="false" ht="15" hidden="false" customHeight="false" outlineLevel="0" collapsed="false">
      <c r="A10" s="19" t="s">
        <v>127</v>
      </c>
      <c r="B10" s="22" t="n">
        <f aca="false">IF(COUNTIFS(Raw_Data!$A$4:$A$46,B$3,Raw_Data!$B$4:$B$46,"Adjusted EBIT margin")=0,"n/d",SUMIFS(Raw_Data!$C$4:$C$46,Raw_Data!$A$4:$A$46,B$3,Raw_Data!$B$4:$B$46,"Adjusted EBIT margin"))</f>
        <v>0.122</v>
      </c>
      <c r="C10" s="22" t="n">
        <f aca="false">IF(COUNTIFS(Raw_Data!$A$4:$A$46,C$3,Raw_Data!$B$4:$B$46,"Adjusted EBIT margin")=0,"n/d",SUMIFS(Raw_Data!$C$4:$C$46,Raw_Data!$A$4:$A$46,C$3,Raw_Data!$B$4:$B$46,"Adjusted EBIT margin"))</f>
        <v>0.169</v>
      </c>
      <c r="D10" s="22" t="n">
        <f aca="false">IF(COUNTIFS(Raw_Data!$A$4:$A$46,D$3,Raw_Data!$B$4:$B$46,"Adjusted EBIT margin")=0,"n/d",SUMIFS(Raw_Data!$C$4:$C$46,Raw_Data!$A$4:$A$46,D$3,Raw_Data!$B$4:$B$46,"Adjusted EBIT margin"))</f>
        <v>0.133</v>
      </c>
      <c r="E10" s="22" t="n">
        <f aca="false">IF(COUNTIFS(Raw_Data!$A$4:$A$46,E$3,Raw_Data!$B$4:$B$46,"Adjusted EBIT margin")=0,"n/d",SUMIFS(Raw_Data!$C$4:$C$46,Raw_Data!$A$4:$A$46,E$3,Raw_Data!$B$4:$B$46,"Adjusted EBIT margin"))</f>
        <v>0.148</v>
      </c>
      <c r="F10" s="21" t="str">
        <f aca="false">IF(ISNUMBER(B10),SUMPRODUCT(--ISNUMBER(B10:E10),--(B10:E10&gt;B10))+1&amp;" of "&amp;COUNT(B10:E10),"n/d")</f>
        <v>4 of 4</v>
      </c>
      <c r="G10" s="4" t="s">
        <v>128</v>
      </c>
    </row>
    <row r="11" customFormat="false" ht="15" hidden="false" customHeight="false" outlineLevel="0" collapsed="false">
      <c r="A11" s="19" t="s">
        <v>66</v>
      </c>
      <c r="B11" s="20" t="n">
        <f aca="false">IF(ISNUMBER(B7),B7*B10,"n/d")</f>
        <v>1371.9144</v>
      </c>
      <c r="C11" s="20" t="n">
        <f aca="false">IF(ISNUMBER(C7),C7*C10,"n/d")</f>
        <v>2158.26460176991</v>
      </c>
      <c r="D11" s="20" t="n">
        <f aca="false">IF(ISNUMBER(D7),D7*D10,"n/d")</f>
        <v>1553.84311632871</v>
      </c>
      <c r="E11" s="20" t="n">
        <f aca="false">IF(ISNUMBER(E7),E7*E10,"n/d")</f>
        <v>1361.6</v>
      </c>
      <c r="F11" s="21" t="str">
        <f aca="false">IF(ISNUMBER(B11),SUMPRODUCT(--ISNUMBER(B11:E11),--(B11:E11&gt;B11))+1&amp;" of "&amp;COUNT(B11:E11),"n/d")</f>
        <v>3 of 4</v>
      </c>
      <c r="G11" s="4" t="s">
        <v>129</v>
      </c>
    </row>
    <row r="12" customFormat="false" ht="15" hidden="false" customHeight="false" outlineLevel="0" collapsed="false">
      <c r="A12" s="19" t="s">
        <v>130</v>
      </c>
      <c r="B12" s="22" t="n">
        <f aca="false">IF(COUNTIFS(Raw_Data!$A$4:$A$46,B$3,Raw_Data!$B$4:$B$46,"Reported EBIT")=0,"n/d",SUMIFS(Raw_Data!$C$4:$C$46,Raw_Data!$A$4:$A$46,B$3,Raw_Data!$B$4:$B$46,"Reported EBIT")/SUMIFS(Raw_Data!$C$4:$C$46,Raw_Data!$A$4:$A$46,B$3,Raw_Data!$B$4:$B$46,"Sales"))</f>
        <v>0.11882403158681</v>
      </c>
      <c r="C12" s="22" t="n">
        <f aca="false">IF(COUNTIFS(Raw_Data!$A$4:$A$46,C$3,Raw_Data!$B$4:$B$46,"Reported EBIT")=0,"n/d",SUMIFS(Raw_Data!$C$4:$C$46,Raw_Data!$A$4:$A$46,C$3,Raw_Data!$B$4:$B$46,"Reported EBIT")/SUMIFS(Raw_Data!$C$4:$C$46,Raw_Data!$A$4:$A$46,C$3,Raw_Data!$B$4:$B$46,"Sales"))</f>
        <v>0.147806804795232</v>
      </c>
      <c r="D12" s="22" t="n">
        <f aca="false">IF(COUNTIFS(Raw_Data!$A$4:$A$46,D$3,Raw_Data!$B$4:$B$46,"Reported EBIT")=0,"n/d",SUMIFS(Raw_Data!$C$4:$C$46,Raw_Data!$A$4:$A$46,D$3,Raw_Data!$B$4:$B$46,"Reported EBIT")/SUMIFS(Raw_Data!$C$4:$C$46,Raw_Data!$A$4:$A$46,D$3,Raw_Data!$B$4:$B$46,"Sales"))</f>
        <v>0.126427331689047</v>
      </c>
      <c r="E12" s="22" t="str">
        <f aca="false">IF(COUNTIFS(Raw_Data!$A$4:$A$46,E$3,Raw_Data!$B$4:$B$46,"Reported EBIT")=0,"n/d",SUMIFS(Raw_Data!$C$4:$C$46,Raw_Data!$A$4:$A$46,E$3,Raw_Data!$B$4:$B$46,"Reported EBIT")/SUMIFS(Raw_Data!$C$4:$C$46,Raw_Data!$A$4:$A$46,E$3,Raw_Data!$B$4:$B$46,"Sales"))</f>
        <v>n/d</v>
      </c>
      <c r="F12" s="21" t="str">
        <f aca="false">IF(ISNUMBER(B12),SUMPRODUCT(--ISNUMBER(B12:E12),--(B12:E12&gt;B12))+1&amp;" of "&amp;COUNT(B12:E12),"n/d")</f>
        <v>3 of 3</v>
      </c>
      <c r="G12" s="4" t="s">
        <v>131</v>
      </c>
    </row>
    <row r="13" customFormat="false" ht="15" hidden="false" customHeight="false" outlineLevel="0" collapsed="false">
      <c r="A13" s="19" t="s">
        <v>132</v>
      </c>
      <c r="B13" s="22" t="n">
        <f aca="false">IF(COUNTIFS(Raw_Data!$A$4:$A$46,B$3,Raw_Data!$B$4:$B$46,"Service and modernization share")&gt;0,SUMIFS(Raw_Data!$C$4:$C$46,Raw_Data!$A$4:$A$46,B$3,Raw_Data!$B$4:$B$46,"Service and modernization share"),IF(COUNTIFS(Raw_Data!$A$4:$A$46,B$3,Raw_Data!$B$4:$B$46,"Service sales")=0,"n/d",(SUMIFS(Raw_Data!$C$4:$C$46,Raw_Data!$A$4:$A$46,B$3,Raw_Data!$B$4:$B$46,"Service sales")+SUMIFS(Raw_Data!$C$4:$C$46,Raw_Data!$A$4:$A$46,B$3,Raw_Data!$B$4:$B$46,"Modernization sales"))/SUMIFS(Raw_Data!$C$4:$C$46,Raw_Data!$A$4:$A$46,B$3,Raw_Data!$B$4:$B$46,"Sales")))</f>
        <v>0.635613417280262</v>
      </c>
      <c r="C13" s="22" t="n">
        <f aca="false">IF(COUNTIFS(Raw_Data!$A$4:$A$46,C$3,Raw_Data!$B$4:$B$46,"Service and modernization share")&gt;0,SUMIFS(Raw_Data!$C$4:$C$46,Raw_Data!$A$4:$A$46,C$3,Raw_Data!$B$4:$B$46,"Service and modernization share"),IF(COUNTIFS(Raw_Data!$A$4:$A$46,C$3,Raw_Data!$B$4:$B$46,"Service sales")=0,"n/d",(SUMIFS(Raw_Data!$C$4:$C$46,Raw_Data!$A$4:$A$46,C$3,Raw_Data!$B$4:$B$46,"Service sales")+SUMIFS(Raw_Data!$C$4:$C$46,Raw_Data!$A$4:$A$46,C$3,Raw_Data!$B$4:$B$46,"Modernization sales"))/SUMIFS(Raw_Data!$C$4:$C$46,Raw_Data!$A$4:$A$46,C$3,Raw_Data!$B$4:$B$46,"Sales")))</f>
        <v>0.654285912272192</v>
      </c>
      <c r="D13" s="22" t="str">
        <f aca="false">IF(COUNTIFS(Raw_Data!$A$4:$A$46,D$3,Raw_Data!$B$4:$B$46,"Service and modernization share")&gt;0,SUMIFS(Raw_Data!$C$4:$C$46,Raw_Data!$A$4:$A$46,D$3,Raw_Data!$B$4:$B$46,"Service and modernization share"),IF(COUNTIFS(Raw_Data!$A$4:$A$46,D$3,Raw_Data!$B$4:$B$46,"Service sales")=0,"n/d",(SUMIFS(Raw_Data!$C$4:$C$46,Raw_Data!$A$4:$A$46,D$3,Raw_Data!$B$4:$B$46,"Service sales")+SUMIFS(Raw_Data!$C$4:$C$46,Raw_Data!$A$4:$A$46,D$3,Raw_Data!$B$4:$B$46,"Modernization sales"))/SUMIFS(Raw_Data!$C$4:$C$46,Raw_Data!$A$4:$A$46,D$3,Raw_Data!$B$4:$B$46,"Sales")))</f>
        <v>n/d</v>
      </c>
      <c r="E13" s="22" t="n">
        <f aca="false">IF(COUNTIFS(Raw_Data!$A$4:$A$46,E$3,Raw_Data!$B$4:$B$46,"Service and modernization share")&gt;0,SUMIFS(Raw_Data!$C$4:$C$46,Raw_Data!$A$4:$A$46,E$3,Raw_Data!$B$4:$B$46,"Service and modernization share"),IF(COUNTIFS(Raw_Data!$A$4:$A$46,E$3,Raw_Data!$B$4:$B$46,"Service sales")=0,"n/d",(SUMIFS(Raw_Data!$C$4:$C$46,Raw_Data!$A$4:$A$46,E$3,Raw_Data!$B$4:$B$46,"Service sales")+SUMIFS(Raw_Data!$C$4:$C$46,Raw_Data!$A$4:$A$46,E$3,Raw_Data!$B$4:$B$46,"Modernization sales"))/SUMIFS(Raw_Data!$C$4:$C$46,Raw_Data!$A$4:$A$46,E$3,Raw_Data!$B$4:$B$46,"Sales")))</f>
        <v>0.65</v>
      </c>
      <c r="F13" s="21" t="str">
        <f aca="false">IF(ISNUMBER(B13),SUMPRODUCT(--ISNUMBER(B13:E13),--(B13:E13&gt;B13))+1&amp;" of "&amp;COUNT(B13:E13),"n/d")</f>
        <v>3 of 3</v>
      </c>
      <c r="G13" s="4" t="s">
        <v>133</v>
      </c>
    </row>
    <row r="14" customFormat="false" ht="15" hidden="false" customHeight="false" outlineLevel="0" collapsed="false">
      <c r="A14" s="19" t="s">
        <v>80</v>
      </c>
      <c r="B14" s="20" t="n">
        <f aca="false">IF(COUNTIFS(Raw_Data!$A$4:$A$46,B$3,Raw_Data!$B$4:$B$46,"Employees")=0,"n/d",SUMIFS(Raw_Data!$C$4:$C$46,Raw_Data!$A$4:$A$46,B$3,Raw_Data!$B$4:$B$46,"Employees"))</f>
        <v>64978</v>
      </c>
      <c r="C14" s="20" t="n">
        <f aca="false">IF(COUNTIFS(Raw_Data!$A$4:$A$46,C$3,Raw_Data!$B$4:$B$46,"Employees")=0,"n/d",SUMIFS(Raw_Data!$C$4:$C$46,Raw_Data!$A$4:$A$46,C$3,Raw_Data!$B$4:$B$46,"Employees"))</f>
        <v>72000</v>
      </c>
      <c r="D14" s="20" t="n">
        <f aca="false">IF(COUNTIFS(Raw_Data!$A$4:$A$46,D$3,Raw_Data!$B$4:$B$46,"Employees")=0,"n/d",SUMIFS(Raw_Data!$C$4:$C$46,Raw_Data!$A$4:$A$46,D$3,Raw_Data!$B$4:$B$46,"Employees"))</f>
        <v>67381</v>
      </c>
      <c r="E14" s="20" t="n">
        <f aca="false">IF(COUNTIFS(Raw_Data!$A$4:$A$46,E$3,Raw_Data!$B$4:$B$46,"Employees")=0,"n/d",SUMIFS(Raw_Data!$C$4:$C$46,Raw_Data!$A$4:$A$46,E$3,Raw_Data!$B$4:$B$46,"Employees"))</f>
        <v>50000</v>
      </c>
      <c r="F14" s="21" t="str">
        <f aca="false">IF(ISNUMBER(B14),SUMPRODUCT(--ISNUMBER(B14:E14),--(B14:E14&gt;B14))+1&amp;" of "&amp;COUNT(B14:E14),"n/d")</f>
        <v>3 of 4</v>
      </c>
      <c r="G14" s="4" t="s">
        <v>134</v>
      </c>
    </row>
    <row r="15" customFormat="false" ht="15" hidden="false" customHeight="false" outlineLevel="0" collapsed="false">
      <c r="A15" s="19" t="s">
        <v>135</v>
      </c>
      <c r="B15" s="20" t="n">
        <f aca="false">IF(AND(ISNUMBER(B7),ISNUMBER(B14)),B7/B14*1000,"n/d")</f>
        <v>173.061651635938</v>
      </c>
      <c r="C15" s="20" t="n">
        <f aca="false">IF(AND(ISNUMBER(C7),ISNUMBER(C14)),C7/C14*1000,"n/d")</f>
        <v>177.372173058014</v>
      </c>
      <c r="D15" s="20" t="n">
        <f aca="false">IF(AND(ISNUMBER(D7),ISNUMBER(D14)),D7/D14*1000,"n/d")</f>
        <v>173.387615942772</v>
      </c>
      <c r="E15" s="20" t="n">
        <f aca="false">IF(AND(ISNUMBER(E7),ISNUMBER(E14)),E7/E14*1000,"n/d")</f>
        <v>184</v>
      </c>
      <c r="F15" s="21" t="str">
        <f aca="false">IF(ISNUMBER(B15),SUMPRODUCT(--ISNUMBER(B15:E15),--(B15:E15&gt;B15))+1&amp;" of "&amp;COUNT(B15:E15),"n/d")</f>
        <v>4 of 4</v>
      </c>
      <c r="G15" s="4" t="s">
        <v>136</v>
      </c>
    </row>
    <row r="16" customFormat="false" ht="15" hidden="false" customHeight="false" outlineLevel="0" collapsed="false">
      <c r="A16" s="19" t="s">
        <v>137</v>
      </c>
      <c r="B16" s="23" t="n">
        <f aca="false">IF(COUNTIFS(Raw_Data!$A$4:$A$46,B$3,Raw_Data!$B$4:$B$46,"Units under maintenance")=0,"n/d",SUMIFS(Raw_Data!$C$4:$C$46,Raw_Data!$A$4:$A$46,B$3,Raw_Data!$B$4:$B$46,"Units under maintenance"))</f>
        <v>1.8</v>
      </c>
      <c r="C16" s="23" t="n">
        <f aca="false">IF(COUNTIFS(Raw_Data!$A$4:$A$46,C$3,Raw_Data!$B$4:$B$46,"Units under maintenance")=0,"n/d",SUMIFS(Raw_Data!$C$4:$C$46,Raw_Data!$A$4:$A$46,C$3,Raw_Data!$B$4:$B$46,"Units under maintenance"))</f>
        <v>2.5</v>
      </c>
      <c r="D16" s="23" t="str">
        <f aca="false">IF(COUNTIFS(Raw_Data!$A$4:$A$46,D$3,Raw_Data!$B$4:$B$46,"Units under maintenance")=0,"n/d",SUMIFS(Raw_Data!$C$4:$C$46,Raw_Data!$A$4:$A$46,D$3,Raw_Data!$B$4:$B$46,"Units under maintenance"))</f>
        <v>n/d</v>
      </c>
      <c r="E16" s="23" t="n">
        <f aca="false">IF(COUNTIFS(Raw_Data!$A$4:$A$46,E$3,Raw_Data!$B$4:$B$46,"Units under maintenance")=0,"n/d",SUMIFS(Raw_Data!$C$4:$C$46,Raw_Data!$A$4:$A$46,E$3,Raw_Data!$B$4:$B$46,"Units under maintenance"))</f>
        <v>1.4</v>
      </c>
      <c r="F16" s="21" t="str">
        <f aca="false">IF(ISNUMBER(B16),SUMPRODUCT(--ISNUMBER(B16:E16),--(B16:E16&gt;B16))+1&amp;" of "&amp;COUNT(B16:E16),"n/d")</f>
        <v>2 of 3</v>
      </c>
      <c r="G16" s="4" t="s">
        <v>138</v>
      </c>
    </row>
    <row r="17" customFormat="false" ht="15" hidden="false" customHeight="false" outlineLevel="0" collapsed="false">
      <c r="A17" s="19" t="s">
        <v>139</v>
      </c>
      <c r="B17" s="20" t="n">
        <f aca="false">IF(AND(ISNUMBER(B13),ISNUMBER(B16)),B7*B13/B16,"n/d")</f>
        <v>3970.88888888889</v>
      </c>
      <c r="C17" s="20" t="n">
        <f aca="false">IF(AND(ISNUMBER(C13),ISNUMBER(C16)),C7*C13/C16,"n/d")</f>
        <v>3342.30088495575</v>
      </c>
      <c r="D17" s="20" t="str">
        <f aca="false">IF(AND(ISNUMBER(D13),ISNUMBER(D16)),D7*D13/D16,"n/d")</f>
        <v>n/d</v>
      </c>
      <c r="E17" s="20" t="n">
        <f aca="false">IF(AND(ISNUMBER(E13),ISNUMBER(E16)),E7*E13/E16,"n/d")</f>
        <v>4271.42857142857</v>
      </c>
      <c r="F17" s="21" t="str">
        <f aca="false">IF(ISNUMBER(B17),SUMPRODUCT(--ISNUMBER(B17:E17),--(B17:E17&gt;B17))+1&amp;" of "&amp;COUNT(B17:E17),"n/d")</f>
        <v>2 of 3</v>
      </c>
      <c r="G17" s="4" t="s">
        <v>140</v>
      </c>
    </row>
    <row r="19" customFormat="false" ht="15" hidden="false" customHeight="false" outlineLevel="0" collapsed="false">
      <c r="A19" s="2" t="s">
        <v>141</v>
      </c>
      <c r="B19" s="24" t="n">
        <f aca="false">(MAX(B10:E10)-B10)*100</f>
        <v>4.7</v>
      </c>
    </row>
    <row r="20" customFormat="false" ht="15" hidden="false" customHeight="false" outlineLevel="0" collapsed="false">
      <c r="A20" s="2" t="s">
        <v>142</v>
      </c>
      <c r="B20" s="25" t="n">
        <f aca="false">(C10-B10)*B7</f>
        <v>528.5244</v>
      </c>
    </row>
    <row r="21" customFormat="false" ht="15" hidden="false" customHeight="false" outlineLevel="0" collapsed="false">
      <c r="A21" s="2" t="s">
        <v>143</v>
      </c>
      <c r="B21" s="26" t="n">
        <f aca="false">SUMIFS(Raw_Data!$C$4:$C$46,Raw_Data!$A$4:$A$46,B$3,Raw_Data!$B$4:$B$46,"Sales Greater China")/SUMIFS(Raw_Data!$C$4:$C$46,Raw_Data!$A$4:$A$46,B$3,Raw_Data!$B$4:$B$46,"Sales")</f>
        <v>0.192615515953473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4" min="3" style="0" width="15"/>
    <col collapsed="false" customWidth="true" hidden="false" outlineLevel="0" max="6" min="5" style="0" width="13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4" t="s">
        <v>145</v>
      </c>
    </row>
    <row r="4" customFormat="false" ht="15" hidden="false" customHeight="false" outlineLevel="0" collapsed="false">
      <c r="A4" s="5" t="s">
        <v>52</v>
      </c>
      <c r="B4" s="5" t="s">
        <v>56</v>
      </c>
      <c r="C4" s="5" t="s">
        <v>101</v>
      </c>
      <c r="D4" s="5" t="s">
        <v>111</v>
      </c>
      <c r="E4" s="5" t="s">
        <v>86</v>
      </c>
      <c r="F4" s="5" t="s">
        <v>94</v>
      </c>
      <c r="G4" s="5" t="s">
        <v>43</v>
      </c>
    </row>
    <row r="5" customFormat="false" ht="15" hidden="false" customHeight="false" outlineLevel="0" collapsed="false">
      <c r="A5" s="2" t="s">
        <v>57</v>
      </c>
      <c r="B5" s="27" t="n">
        <f aca="false">Benchmark!B7</f>
        <v>11245.2</v>
      </c>
      <c r="C5" s="27" t="n">
        <f aca="false">Benchmark!E7</f>
        <v>9200</v>
      </c>
      <c r="D5" s="28" t="n">
        <f aca="false">B5+C5</f>
        <v>20445.2</v>
      </c>
      <c r="E5" s="27" t="n">
        <f aca="false">Benchmark!C7</f>
        <v>12770.796460177</v>
      </c>
      <c r="F5" s="27" t="n">
        <f aca="false">Benchmark!D7</f>
        <v>11683.0309498399</v>
      </c>
      <c r="G5" s="4" t="s">
        <v>146</v>
      </c>
    </row>
    <row r="6" customFormat="false" ht="15" hidden="false" customHeight="false" outlineLevel="0" collapsed="false">
      <c r="A6" s="2" t="s">
        <v>147</v>
      </c>
      <c r="B6" s="27" t="n">
        <f aca="false">Benchmark!B11</f>
        <v>1371.9144</v>
      </c>
      <c r="C6" s="27" t="n">
        <f aca="false">Benchmark!E11</f>
        <v>1361.6</v>
      </c>
      <c r="D6" s="28" t="n">
        <f aca="false">B6+C6</f>
        <v>2733.5144</v>
      </c>
      <c r="E6" s="27" t="n">
        <f aca="false">Benchmark!C11</f>
        <v>2158.26460176991</v>
      </c>
      <c r="F6" s="27" t="n">
        <f aca="false">Benchmark!D11</f>
        <v>1553.84311632871</v>
      </c>
      <c r="G6" s="4" t="s">
        <v>148</v>
      </c>
    </row>
    <row r="7" customFormat="false" ht="15" hidden="false" customHeight="false" outlineLevel="0" collapsed="false">
      <c r="A7" s="2" t="s">
        <v>149</v>
      </c>
      <c r="B7" s="26" t="n">
        <f aca="false">B6/B5</f>
        <v>0.122</v>
      </c>
      <c r="C7" s="26" t="n">
        <f aca="false">C6/C5</f>
        <v>0.148</v>
      </c>
      <c r="D7" s="29" t="n">
        <f aca="false">D6/D5</f>
        <v>0.133699567624675</v>
      </c>
      <c r="E7" s="26" t="n">
        <f aca="false">E6/E5</f>
        <v>0.169</v>
      </c>
      <c r="F7" s="26" t="n">
        <f aca="false">F6/F5</f>
        <v>0.133</v>
      </c>
    </row>
    <row r="8" customFormat="false" ht="15" hidden="false" customHeight="false" outlineLevel="0" collapsed="false">
      <c r="A8" s="2" t="s">
        <v>150</v>
      </c>
      <c r="B8" s="25"/>
      <c r="C8" s="25"/>
      <c r="D8" s="28" t="n">
        <f aca="false">Inputs!B7*Inputs!B17</f>
        <v>350</v>
      </c>
      <c r="E8" s="25"/>
      <c r="F8" s="25"/>
      <c r="G8" s="4" t="s">
        <v>151</v>
      </c>
    </row>
    <row r="9" customFormat="false" ht="15" hidden="false" customHeight="false" outlineLevel="0" collapsed="false">
      <c r="A9" s="2" t="s">
        <v>152</v>
      </c>
      <c r="B9" s="25"/>
      <c r="C9" s="25"/>
      <c r="D9" s="28" t="n">
        <f aca="false">D6+D8</f>
        <v>3083.5144</v>
      </c>
      <c r="E9" s="25"/>
      <c r="F9" s="25"/>
    </row>
    <row r="10" customFormat="false" ht="15" hidden="false" customHeight="false" outlineLevel="0" collapsed="false">
      <c r="A10" s="2" t="s">
        <v>153</v>
      </c>
      <c r="B10" s="26"/>
      <c r="C10" s="26"/>
      <c r="D10" s="29" t="n">
        <f aca="false">D9/D5</f>
        <v>0.150818500185863</v>
      </c>
      <c r="E10" s="26"/>
      <c r="F10" s="26"/>
      <c r="G10" s="4" t="s">
        <v>154</v>
      </c>
    </row>
    <row r="11" customFormat="false" ht="15" hidden="false" customHeight="false" outlineLevel="0" collapsed="false">
      <c r="A11" s="2" t="s">
        <v>155</v>
      </c>
      <c r="B11" s="30"/>
      <c r="C11" s="30"/>
      <c r="D11" s="31" t="n">
        <f aca="false">D5/E5</f>
        <v>1.60093382301989</v>
      </c>
      <c r="E11" s="30"/>
      <c r="F11" s="30"/>
    </row>
    <row r="12" customFormat="false" ht="15" hidden="false" customHeight="false" outlineLevel="0" collapsed="false">
      <c r="A12" s="2" t="s">
        <v>80</v>
      </c>
      <c r="B12" s="27" t="n">
        <f aca="false">Benchmark!B14</f>
        <v>64978</v>
      </c>
      <c r="C12" s="27" t="n">
        <f aca="false">Benchmark!E14</f>
        <v>50000</v>
      </c>
      <c r="D12" s="28" t="n">
        <f aca="false">B12+C12</f>
        <v>114978</v>
      </c>
      <c r="E12" s="27" t="n">
        <f aca="false">Benchmark!C14</f>
        <v>72000</v>
      </c>
      <c r="F12" s="27" t="n">
        <f aca="false">Benchmark!D14</f>
        <v>67381</v>
      </c>
    </row>
    <row r="13" customFormat="false" ht="15" hidden="false" customHeight="false" outlineLevel="0" collapsed="false">
      <c r="A13" s="2" t="s">
        <v>137</v>
      </c>
      <c r="B13" s="32" t="n">
        <f aca="false">Benchmark!B16</f>
        <v>1.8</v>
      </c>
      <c r="C13" s="32" t="n">
        <f aca="false">Benchmark!E16</f>
        <v>1.4</v>
      </c>
      <c r="D13" s="33" t="n">
        <f aca="false">B13+C13</f>
        <v>3.2</v>
      </c>
      <c r="E13" s="32" t="n">
        <f aca="false">Benchmark!C16</f>
        <v>2.5</v>
      </c>
      <c r="F13" s="24"/>
      <c r="G13" s="4" t="s">
        <v>156</v>
      </c>
    </row>
    <row r="14" customFormat="false" ht="15" hidden="false" customHeight="false" outlineLevel="0" collapsed="false">
      <c r="A14" s="2" t="s">
        <v>157</v>
      </c>
      <c r="B14" s="34" t="n">
        <f aca="false">Benchmark!B13</f>
        <v>0.635613417280262</v>
      </c>
      <c r="C14" s="34" t="n">
        <f aca="false">Benchmark!E13</f>
        <v>0.65</v>
      </c>
      <c r="D14" s="29" t="n">
        <f aca="false">(B5*B14+C5*C14)/D5</f>
        <v>0.64208714025786</v>
      </c>
      <c r="E14" s="34" t="n">
        <f aca="false">Benchmark!C13</f>
        <v>0.654285912272192</v>
      </c>
      <c r="F14" s="26"/>
    </row>
    <row r="15" customFormat="false" ht="15" hidden="false" customHeight="false" outlineLevel="0" collapsed="false">
      <c r="A15" s="2" t="s">
        <v>78</v>
      </c>
      <c r="B15" s="26" t="n">
        <f aca="false">SUMIFS(Raw_Data!$C$4:$C$46,Raw_Data!$A$4:$A$46,"KONE",Raw_Data!$B$4:$B$46,"US share of sales")</f>
        <v>0.21</v>
      </c>
      <c r="C15" s="26" t="n">
        <f aca="false">SUMIFS(Raw_Data!$C$4:$C$46,Raw_Data!$A$4:$A$46,"TKE",Raw_Data!$B$4:$B$46,"US share of sales")</f>
        <v>0.45</v>
      </c>
      <c r="D15" s="29" t="n">
        <f aca="false">(B5*B15+C5*C15)/D5</f>
        <v>0.317996008843151</v>
      </c>
      <c r="E15" s="26"/>
      <c r="F15" s="26"/>
      <c r="G15" s="4" t="s">
        <v>158</v>
      </c>
    </row>
    <row r="18" customFormat="false" ht="15" hidden="false" customHeight="false" outlineLevel="0" collapsed="false">
      <c r="A18" s="2" t="s">
        <v>159</v>
      </c>
    </row>
    <row r="19" customFormat="false" ht="26.85" hidden="false" customHeight="false" outlineLevel="0" collapsed="false">
      <c r="A19" s="5" t="s">
        <v>160</v>
      </c>
      <c r="B19" s="5" t="s">
        <v>35</v>
      </c>
      <c r="C19" s="5" t="s">
        <v>161</v>
      </c>
      <c r="D19" s="5" t="s">
        <v>162</v>
      </c>
    </row>
    <row r="20" customFormat="false" ht="15" hidden="false" customHeight="false" outlineLevel="0" collapsed="false">
      <c r="A20" s="35" t="n">
        <v>0</v>
      </c>
      <c r="B20" s="25" t="n">
        <f aca="false">Inputs!$B$7*A20</f>
        <v>0</v>
      </c>
      <c r="C20" s="26" t="n">
        <f aca="false">($D$6+B20)/$D$5</f>
        <v>0.133699567624675</v>
      </c>
      <c r="D20" s="36" t="n">
        <f aca="false">(C20-$E$7)*100</f>
        <v>-3.53004323753253</v>
      </c>
    </row>
    <row r="21" customFormat="false" ht="15" hidden="false" customHeight="false" outlineLevel="0" collapsed="false">
      <c r="A21" s="35" t="n">
        <v>0.25</v>
      </c>
      <c r="B21" s="25" t="n">
        <f aca="false">Inputs!$B$7*A21</f>
        <v>175</v>
      </c>
      <c r="C21" s="26" t="n">
        <f aca="false">($D$6+B21)/$D$5</f>
        <v>0.142259033905269</v>
      </c>
      <c r="D21" s="36" t="n">
        <f aca="false">(C21-$E$7)*100</f>
        <v>-2.67409660947313</v>
      </c>
    </row>
    <row r="22" customFormat="false" ht="15" hidden="false" customHeight="false" outlineLevel="0" collapsed="false">
      <c r="A22" s="35" t="n">
        <v>0.5</v>
      </c>
      <c r="B22" s="25" t="n">
        <f aca="false">Inputs!$B$7*A22</f>
        <v>350</v>
      </c>
      <c r="C22" s="26" t="n">
        <f aca="false">($D$6+B22)/$D$5</f>
        <v>0.150818500185863</v>
      </c>
      <c r="D22" s="36" t="n">
        <f aca="false">(C22-$E$7)*100</f>
        <v>-1.81814998141374</v>
      </c>
    </row>
    <row r="23" customFormat="false" ht="15" hidden="false" customHeight="false" outlineLevel="0" collapsed="false">
      <c r="A23" s="35" t="n">
        <v>0.75</v>
      </c>
      <c r="B23" s="25" t="n">
        <f aca="false">Inputs!$B$7*A23</f>
        <v>525</v>
      </c>
      <c r="C23" s="26" t="n">
        <f aca="false">($D$6+B23)/$D$5</f>
        <v>0.159377966466457</v>
      </c>
      <c r="D23" s="36" t="n">
        <f aca="false">(C23-$E$7)*100</f>
        <v>-0.962203353354338</v>
      </c>
    </row>
    <row r="24" customFormat="false" ht="15" hidden="false" customHeight="false" outlineLevel="0" collapsed="false">
      <c r="A24" s="35" t="n">
        <v>1</v>
      </c>
      <c r="B24" s="25" t="n">
        <f aca="false">Inputs!$B$7*A24</f>
        <v>700</v>
      </c>
      <c r="C24" s="26" t="n">
        <f aca="false">($D$6+B24)/$D$5</f>
        <v>0.167937432747051</v>
      </c>
      <c r="D24" s="36" t="n">
        <f aca="false">(C24-$E$7)*100</f>
        <v>-0.10625672529494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163</v>
      </c>
    </row>
    <row r="3" customFormat="false" ht="15" hidden="false" customHeight="false" outlineLevel="0" collapsed="false">
      <c r="A3" s="5" t="s">
        <v>164</v>
      </c>
      <c r="B3" s="5" t="s">
        <v>165</v>
      </c>
      <c r="C3" s="5" t="s">
        <v>166</v>
      </c>
      <c r="D3" s="5" t="s">
        <v>167</v>
      </c>
      <c r="E3" s="5" t="s">
        <v>168</v>
      </c>
      <c r="F3" s="5" t="s">
        <v>169</v>
      </c>
    </row>
    <row r="4" customFormat="false" ht="15" hidden="false" customHeight="false" outlineLevel="0" collapsed="false">
      <c r="A4" s="0" t="n">
        <v>1</v>
      </c>
      <c r="B4" s="0" t="s">
        <v>170</v>
      </c>
      <c r="C4" s="37" t="n">
        <f aca="false">SUMIFS(Raw_Data!$C$4:$C$46,Raw_Data!$A$4:$A$46,"KONE",Raw_Data!$B$4:$B$46,"New equipment sales")+SUMIFS(Raw_Data!$C$4:$C$46,Raw_Data!$A$4:$A$46,"KONE",Raw_Data!$B$4:$B$46,"Service sales")+SUMIFS(Raw_Data!$C$4:$C$46,Raw_Data!$A$4:$A$46,"KONE",Raw_Data!$B$4:$B$46,"Modernization sales")</f>
        <v>11245.3</v>
      </c>
      <c r="D4" s="37" t="n">
        <f aca="false">SUMIFS(Raw_Data!$C$4:$C$46,Raw_Data!$A$4:$A$46,"KONE",Raw_Data!$B$4:$B$46,"Sales")</f>
        <v>11245.2</v>
      </c>
      <c r="E4" s="38" t="n">
        <v>0.5</v>
      </c>
      <c r="F4" s="0" t="str">
        <f aca="false">IF(ABS(C4-D4)&lt;=E4,"OK","CHECK")</f>
        <v>OK</v>
      </c>
    </row>
    <row r="5" customFormat="false" ht="15" hidden="false" customHeight="false" outlineLevel="0" collapsed="false">
      <c r="A5" s="0" t="n">
        <v>2</v>
      </c>
      <c r="B5" s="0" t="s">
        <v>171</v>
      </c>
      <c r="C5" s="37" t="n">
        <f aca="false">SUMIFS(Raw_Data!$C$4:$C$46,Raw_Data!$A$4:$A$46,"KONE",Raw_Data!$B$4:$B$46,"Sales Americas")+SUMIFS(Raw_Data!$C$4:$C$46,Raw_Data!$A$4:$A$46,"KONE",Raw_Data!$B$4:$B$46,"Sales Europe")+SUMIFS(Raw_Data!$C$4:$C$46,Raw_Data!$A$4:$A$46,"KONE",Raw_Data!$B$4:$B$46,"Sales APMEA")+SUMIFS(Raw_Data!$C$4:$C$46,Raw_Data!$A$4:$A$46,"KONE",Raw_Data!$B$4:$B$46,"Sales Greater China")</f>
        <v>11245.2</v>
      </c>
      <c r="D5" s="37" t="n">
        <f aca="false">SUMIFS(Raw_Data!$C$4:$C$46,Raw_Data!$A$4:$A$46,"KONE",Raw_Data!$B$4:$B$46,"Sales")</f>
        <v>11245.2</v>
      </c>
      <c r="E5" s="38" t="n">
        <v>0.5</v>
      </c>
      <c r="F5" s="0" t="str">
        <f aca="false">IF(ABS(C5-D5)&lt;=E5,"OK","CHECK")</f>
        <v>OK</v>
      </c>
    </row>
    <row r="6" customFormat="false" ht="15" hidden="false" customHeight="false" outlineLevel="0" collapsed="false">
      <c r="A6" s="0" t="n">
        <v>3</v>
      </c>
      <c r="B6" s="0" t="s">
        <v>172</v>
      </c>
      <c r="C6" s="37" t="n">
        <f aca="false">SUMIFS(Raw_Data!$C$4:$C$46,Raw_Data!$A$4:$A$46,"Otis",Raw_Data!$B$4:$B$46,"New equipment sales")+SUMIFS(Raw_Data!$C$4:$C$46,Raw_Data!$A$4:$A$46,"Otis",Raw_Data!$B$4:$B$46,"Service sales")</f>
        <v>14431</v>
      </c>
      <c r="D6" s="37" t="n">
        <f aca="false">SUMIFS(Raw_Data!$C$4:$C$46,Raw_Data!$A$4:$A$46,"Otis",Raw_Data!$B$4:$B$46,"Sales")</f>
        <v>14431</v>
      </c>
      <c r="E6" s="38" t="n">
        <v>0.5</v>
      </c>
      <c r="F6" s="0" t="str">
        <f aca="false">IF(ABS(C6-D6)&lt;=E6,"OK","CHECK")</f>
        <v>OK</v>
      </c>
    </row>
    <row r="7" customFormat="false" ht="15" hidden="false" customHeight="false" outlineLevel="0" collapsed="false">
      <c r="A7" s="0" t="n">
        <v>4</v>
      </c>
      <c r="B7" s="0" t="s">
        <v>173</v>
      </c>
      <c r="C7" s="37" t="n">
        <f aca="false">SUMIFS(Raw_Data!$C$4:$C$46,Raw_Data!$A$4:$A$46,"Schindler",Raw_Data!$B$4:$B$46,"Sales EMEA")+SUMIFS(Raw_Data!$C$4:$C$46,Raw_Data!$A$4:$A$46,"Schindler",Raw_Data!$B$4:$B$46,"Sales Americas")+SUMIFS(Raw_Data!$C$4:$C$46,Raw_Data!$A$4:$A$46,"Schindler",Raw_Data!$B$4:$B$46,"Sales Asia-Pacific")</f>
        <v>10947</v>
      </c>
      <c r="D7" s="37" t="n">
        <f aca="false">SUMIFS(Raw_Data!$C$4:$C$46,Raw_Data!$A$4:$A$46,"Schindler",Raw_Data!$B$4:$B$46,"Sales")</f>
        <v>10947</v>
      </c>
      <c r="E7" s="38" t="n">
        <v>0.5</v>
      </c>
      <c r="F7" s="0" t="str">
        <f aca="false">IF(ABS(C7-D7)&lt;=E7,"OK","CHECK")</f>
        <v>OK</v>
      </c>
    </row>
    <row r="8" customFormat="false" ht="15" hidden="false" customHeight="false" outlineLevel="0" collapsed="false">
      <c r="A8" s="0" t="n">
        <v>5</v>
      </c>
      <c r="B8" s="0" t="s">
        <v>174</v>
      </c>
      <c r="C8" s="37" t="n">
        <f aca="false">SUMIFS(Raw_Data!$C$4:$C$46,Raw_Data!$A$4:$A$46,"KONE",Raw_Data!$B$4:$B$46,"Adjusted EBIT")/SUMIFS(Raw_Data!$C$4:$C$46,Raw_Data!$A$4:$A$46,"KONE",Raw_Data!$B$4:$B$46,"Sales")</f>
        <v>0.121767509693025</v>
      </c>
      <c r="D8" s="37" t="n">
        <f aca="false">SUMIFS(Raw_Data!$C$4:$C$46,Raw_Data!$A$4:$A$46,"KONE",Raw_Data!$B$4:$B$46,"Adjusted EBIT margin")</f>
        <v>0.122</v>
      </c>
      <c r="E8" s="38" t="n">
        <v>0.001</v>
      </c>
      <c r="F8" s="0" t="str">
        <f aca="false">IF(ABS(C8-D8)&lt;=E8,"OK","CHECK")</f>
        <v>OK</v>
      </c>
    </row>
    <row r="9" customFormat="false" ht="15" hidden="false" customHeight="false" outlineLevel="0" collapsed="false">
      <c r="A9" s="0" t="n">
        <v>6</v>
      </c>
      <c r="B9" s="0" t="s">
        <v>175</v>
      </c>
      <c r="C9" s="37" t="n">
        <f aca="false">SUMIFS(Raw_Data!$C$4:$C$46,Raw_Data!$A$4:$A$46,"Otis",Raw_Data!$B$4:$B$46,"Adjusted EBIT")/SUMIFS(Raw_Data!$C$4:$C$46,Raw_Data!$A$4:$A$46,"Otis",Raw_Data!$B$4:$B$46,"Sales")</f>
        <v>0.168664680202342</v>
      </c>
      <c r="D9" s="37" t="n">
        <f aca="false">SUMIFS(Raw_Data!$C$4:$C$46,Raw_Data!$A$4:$A$46,"Otis",Raw_Data!$B$4:$B$46,"Adjusted EBIT margin")</f>
        <v>0.169</v>
      </c>
      <c r="E9" s="38" t="n">
        <v>0.001</v>
      </c>
      <c r="F9" s="0" t="str">
        <f aca="false">IF(ABS(C9-D9)&lt;=E9,"OK","CHECK")</f>
        <v>OK</v>
      </c>
    </row>
    <row r="10" customFormat="false" ht="15" hidden="false" customHeight="false" outlineLevel="0" collapsed="false">
      <c r="A10" s="0" t="n">
        <v>7</v>
      </c>
      <c r="B10" s="0" t="s">
        <v>176</v>
      </c>
      <c r="C10" s="37" t="n">
        <f aca="false">ProForma!D5</f>
        <v>20445.2</v>
      </c>
      <c r="D10" s="37" t="n">
        <f aca="false">SUMIFS(Raw_Data!$C$4:$C$46,Raw_Data!$A$4:$A$46,"KONE + TKE",Raw_Data!$B$4:$B$46,"Combined sales (announced)")</f>
        <v>20500</v>
      </c>
      <c r="E10" s="38" t="n">
        <v>200</v>
      </c>
      <c r="F10" s="0" t="str">
        <f aca="false">IF(ABS(C10-D10)&lt;=E10,"OK","CHECK")</f>
        <v>OK</v>
      </c>
    </row>
    <row r="11" customFormat="false" ht="15" hidden="false" customHeight="false" outlineLevel="0" collapsed="false">
      <c r="A11" s="0" t="n">
        <v>8</v>
      </c>
      <c r="B11" s="0" t="s">
        <v>177</v>
      </c>
      <c r="C11" s="37" t="n">
        <f aca="false">ProForma!D13</f>
        <v>3.2</v>
      </c>
      <c r="D11" s="37" t="n">
        <f aca="false">SUMIFS(Raw_Data!$C$4:$C$46,Raw_Data!$A$4:$A$46,"KONE + TKE",Raw_Data!$B$4:$B$46,"Combined units under maintenance (announced)")</f>
        <v>3.2</v>
      </c>
      <c r="E11" s="38" t="n">
        <v>0.1</v>
      </c>
      <c r="F11" s="0" t="str">
        <f aca="false">IF(ABS(C11-D11)&lt;=E11,"OK","CHECK")</f>
        <v>OK</v>
      </c>
    </row>
    <row r="12" customFormat="false" ht="15" hidden="false" customHeight="false" outlineLevel="0" collapsed="false">
      <c r="A12" s="0" t="n">
        <v>9</v>
      </c>
      <c r="B12" s="0" t="s">
        <v>178</v>
      </c>
      <c r="C12" s="37" t="n">
        <f aca="false">MIN(Inputs!B4:B6)</f>
        <v>0.937</v>
      </c>
      <c r="D12" s="37" t="n">
        <f aca="false">0</f>
        <v>0</v>
      </c>
      <c r="E12" s="38" t="n">
        <v>1</v>
      </c>
      <c r="F12" s="0" t="str">
        <f aca="false">IF(C12&gt;D12,"OK","CHECK")</f>
        <v>OK</v>
      </c>
    </row>
    <row r="13" customFormat="false" ht="15" hidden="false" customHeight="false" outlineLevel="0" collapsed="false">
      <c r="A13" s="0" t="n">
        <v>10</v>
      </c>
      <c r="B13" s="0" t="s">
        <v>179</v>
      </c>
      <c r="C13" s="37" t="n">
        <f aca="false">COUNTA(Raw_Data!G4:G46)</f>
        <v>43</v>
      </c>
      <c r="D13" s="37" t="n">
        <f aca="false">COUNTA(Raw_Data!A4:A46)</f>
        <v>43</v>
      </c>
      <c r="E13" s="38" t="n">
        <v>0</v>
      </c>
      <c r="F13" s="0" t="str">
        <f aca="false">IF(ABS(C13-D13)&lt;=E13,"OK","CHECK")</f>
        <v>OK</v>
      </c>
    </row>
    <row r="15" customFormat="false" ht="15" hidden="false" customHeight="false" outlineLevel="0" collapsed="false">
      <c r="B15" s="2" t="s">
        <v>180</v>
      </c>
      <c r="F15" s="2" t="str">
        <f aca="false">IF(COUNTIF(F4:F13,"OK")=10,"ALL OK","CHECK")</f>
        <v>ALL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181</v>
      </c>
    </row>
    <row r="3" customFormat="false" ht="15" hidden="false" customHeight="false" outlineLevel="0" collapsed="false">
      <c r="A3" s="2" t="s">
        <v>182</v>
      </c>
    </row>
    <row r="4" customFormat="false" ht="26.85" hidden="false" customHeight="false" outlineLevel="0" collapsed="false">
      <c r="A4" s="5" t="s">
        <v>51</v>
      </c>
      <c r="B4" s="5" t="s">
        <v>183</v>
      </c>
      <c r="C4" s="5" t="s">
        <v>184</v>
      </c>
      <c r="D4" s="5" t="s">
        <v>185</v>
      </c>
    </row>
    <row r="5" customFormat="false" ht="15" hidden="false" customHeight="false" outlineLevel="0" collapsed="false">
      <c r="A5" s="0" t="s">
        <v>56</v>
      </c>
      <c r="B5" s="24" t="n">
        <f aca="false">Benchmark!B7/1000</f>
        <v>11.2452</v>
      </c>
      <c r="C5" s="26" t="n">
        <f aca="false">Benchmark!B10</f>
        <v>0.122</v>
      </c>
      <c r="D5" s="26" t="n">
        <f aca="false">IF(ISNUMBER(Benchmark!B13),Benchmark!B13,0)</f>
        <v>0.635613417280262</v>
      </c>
    </row>
    <row r="6" customFormat="false" ht="15" hidden="false" customHeight="false" outlineLevel="0" collapsed="false">
      <c r="A6" s="0" t="s">
        <v>86</v>
      </c>
      <c r="B6" s="24" t="n">
        <f aca="false">Benchmark!C7/1000</f>
        <v>12.770796460177</v>
      </c>
      <c r="C6" s="26" t="n">
        <f aca="false">Benchmark!C10</f>
        <v>0.169</v>
      </c>
      <c r="D6" s="26" t="n">
        <f aca="false">IF(ISNUMBER(Benchmark!C13),Benchmark!C13,0)</f>
        <v>0.654285912272192</v>
      </c>
    </row>
    <row r="7" customFormat="false" ht="15" hidden="false" customHeight="false" outlineLevel="0" collapsed="false">
      <c r="A7" s="0" t="s">
        <v>94</v>
      </c>
      <c r="B7" s="24" t="n">
        <f aca="false">Benchmark!D7/1000</f>
        <v>11.6830309498399</v>
      </c>
      <c r="C7" s="26" t="n">
        <f aca="false">Benchmark!D10</f>
        <v>0.133</v>
      </c>
      <c r="D7" s="26" t="n">
        <f aca="false">IF(ISNUMBER(Benchmark!D13),Benchmark!D13,0)</f>
        <v>0</v>
      </c>
    </row>
    <row r="8" customFormat="false" ht="15" hidden="false" customHeight="false" outlineLevel="0" collapsed="false">
      <c r="A8" s="0" t="s">
        <v>101</v>
      </c>
      <c r="B8" s="24" t="n">
        <f aca="false">Benchmark!E7/1000</f>
        <v>9.2</v>
      </c>
      <c r="C8" s="26" t="n">
        <f aca="false">Benchmark!E10</f>
        <v>0.148</v>
      </c>
      <c r="D8" s="26" t="n">
        <f aca="false">IF(ISNUMBER(Benchmark!E13),Benchmark!E13,0)</f>
        <v>0.65</v>
      </c>
    </row>
    <row r="9" customFormat="false" ht="15" hidden="false" customHeight="false" outlineLevel="0" collapsed="false">
      <c r="A9" s="0" t="s">
        <v>111</v>
      </c>
      <c r="B9" s="24" t="n">
        <f aca="false">ProForma!D5/1000</f>
        <v>20.4452</v>
      </c>
      <c r="C9" s="26" t="n">
        <f aca="false">ProForma!D10</f>
        <v>0.150818500185863</v>
      </c>
      <c r="D9" s="26" t="n">
        <f aca="false">ProForma!D14</f>
        <v>0.64208714025786</v>
      </c>
    </row>
    <row r="10" customFormat="false" ht="15" hidden="false" customHeight="false" outlineLevel="0" collapsed="false">
      <c r="A10" s="4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2026-10-05T10:27:27Z</dcterms:created>
  <dc:creator>openpyxl</dc:creator>
  <dc:description/>
  <dc:language>en-US</dc:language>
  <cp:lastModifiedBy/>
  <dcterms:modified xsi:type="dcterms:W3CDTF">2026-10-05T13:27:30Z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